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defaultThemeVersion="202300"/>
  <xr:revisionPtr revIDLastSave="0" documentId="13_ncr:1_{5FCC9EB8-06F3-49C3-8C98-C857130E1B6F}" xr6:coauthVersionLast="47" xr6:coauthVersionMax="47" xr10:uidLastSave="{00000000-0000-0000-0000-000000000000}"/>
  <bookViews>
    <workbookView xWindow="3795" yWindow="4185" windowWidth="23520" windowHeight="11295" activeTab="2" xr2:uid="{66E87A05-9262-4316-8F71-BE3292040D05}"/>
  </bookViews>
  <sheets>
    <sheet name="claude" sheetId="2" r:id="rId1"/>
    <sheet name="deepseek" sheetId="4" r:id="rId2"/>
    <sheet name="gemini" sheetId="5" r:id="rId3"/>
    <sheet name="llama" sheetId="6" r:id="rId4"/>
    <sheet name="openai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55" i="4" l="1"/>
  <c r="AE44" i="4"/>
  <c r="AD44" i="4"/>
  <c r="AC44" i="4"/>
  <c r="AA44" i="4"/>
  <c r="Z44" i="4"/>
  <c r="Y44" i="4"/>
  <c r="AJ42" i="4"/>
  <c r="AJ41" i="4"/>
  <c r="AH32" i="4" s="1"/>
  <c r="V39" i="4"/>
  <c r="U39" i="4"/>
  <c r="U38" i="4"/>
  <c r="P38" i="4"/>
  <c r="V37" i="4"/>
  <c r="U37" i="4"/>
  <c r="P37" i="4"/>
  <c r="V36" i="4"/>
  <c r="U36" i="4"/>
  <c r="P36" i="4"/>
  <c r="V35" i="4"/>
  <c r="U35" i="4"/>
  <c r="P35" i="4"/>
  <c r="AG34" i="4"/>
  <c r="V34" i="4"/>
  <c r="U34" i="4"/>
  <c r="AH33" i="4"/>
  <c r="AG33" i="4"/>
  <c r="AF33" i="4"/>
  <c r="AE33" i="4"/>
  <c r="V33" i="4"/>
  <c r="U33" i="4"/>
  <c r="P33" i="4"/>
  <c r="AG32" i="4"/>
  <c r="AF32" i="4"/>
  <c r="AF34" i="4" s="1"/>
  <c r="AE32" i="4"/>
  <c r="AE34" i="4" s="1"/>
  <c r="V32" i="4"/>
  <c r="U32" i="4"/>
  <c r="P32" i="4"/>
  <c r="P31" i="4"/>
  <c r="AB28" i="4"/>
  <c r="W28" i="4"/>
  <c r="R28" i="4"/>
  <c r="AL27" i="4"/>
  <c r="AG27" i="4"/>
  <c r="AB27" i="4"/>
  <c r="W27" i="4"/>
  <c r="R27" i="4"/>
  <c r="AL26" i="4"/>
  <c r="AL28" i="4" s="1"/>
  <c r="AG26" i="4"/>
  <c r="AG28" i="4" s="1"/>
  <c r="AB26" i="4"/>
  <c r="W26" i="4"/>
  <c r="R26" i="4"/>
  <c r="AL23" i="4"/>
  <c r="AK23" i="4"/>
  <c r="AJ23" i="4"/>
  <c r="V40" i="4" s="1"/>
  <c r="AG23" i="4"/>
  <c r="AF23" i="4"/>
  <c r="AE23" i="4"/>
  <c r="AB23" i="4"/>
  <c r="AA23" i="4"/>
  <c r="Z23" i="4"/>
  <c r="U40" i="4" s="1"/>
  <c r="W23" i="4"/>
  <c r="V23" i="4"/>
  <c r="U23" i="4"/>
  <c r="R23" i="4"/>
  <c r="Q23" i="4"/>
  <c r="P23" i="4"/>
  <c r="AL22" i="4"/>
  <c r="AL22" i="4" a="1"/>
  <c r="AK22" i="4"/>
  <c r="AK22" i="4" a="1"/>
  <c r="AJ22" i="4"/>
  <c r="AJ22" i="4" a="1"/>
  <c r="AG22" i="4"/>
  <c r="AG22" i="4" a="1"/>
  <c r="AF22" i="4"/>
  <c r="AF22" i="4" a="1"/>
  <c r="AE22" i="4"/>
  <c r="AE22" i="4" a="1"/>
  <c r="AB22" i="4"/>
  <c r="AB22" i="4" a="1"/>
  <c r="AA22" i="4"/>
  <c r="AA22" i="4" a="1"/>
  <c r="Z22" i="4"/>
  <c r="Z22" i="4" a="1"/>
  <c r="W22" i="4"/>
  <c r="W22" i="4" a="1"/>
  <c r="V22" i="4"/>
  <c r="V22" i="4" a="1"/>
  <c r="U22" i="4"/>
  <c r="U22" i="4" a="1"/>
  <c r="R22" i="4"/>
  <c r="Q22" i="4"/>
  <c r="P22" i="4"/>
  <c r="V21" i="4"/>
  <c r="AJ20" i="4"/>
  <c r="AJ21" i="4" s="1"/>
  <c r="AG20" i="4"/>
  <c r="AG21" i="4" s="1"/>
  <c r="AA20" i="4"/>
  <c r="AA24" i="4" s="1"/>
  <c r="Z20" i="4"/>
  <c r="W20" i="4"/>
  <c r="W24" i="4" s="1"/>
  <c r="V20" i="4"/>
  <c r="V24" i="4" s="1"/>
  <c r="P20" i="4"/>
  <c r="P21" i="4" s="1"/>
  <c r="AL19" i="4"/>
  <c r="AL20" i="4" s="1"/>
  <c r="AK19" i="4"/>
  <c r="AK20" i="4" s="1"/>
  <c r="AJ19" i="4"/>
  <c r="V38" i="4" s="1"/>
  <c r="AG19" i="4"/>
  <c r="AF19" i="4"/>
  <c r="AF20" i="4" s="1"/>
  <c r="AE19" i="4"/>
  <c r="AE20" i="4" s="1"/>
  <c r="AB19" i="4"/>
  <c r="AB20" i="4" s="1"/>
  <c r="AA19" i="4"/>
  <c r="Z19" i="4"/>
  <c r="W19" i="4"/>
  <c r="V19" i="4"/>
  <c r="U19" i="4"/>
  <c r="U20" i="4" s="1"/>
  <c r="R19" i="4"/>
  <c r="R20" i="4" s="1"/>
  <c r="R21" i="4" s="1"/>
  <c r="Q19" i="4"/>
  <c r="Q20" i="4" s="1"/>
  <c r="Q21" i="4" s="1"/>
  <c r="P19" i="4"/>
  <c r="AL18" i="4"/>
  <c r="AL18" i="4" a="1"/>
  <c r="AK18" i="4"/>
  <c r="AK18" i="4" a="1"/>
  <c r="AJ18" i="4"/>
  <c r="AJ18" i="4" a="1"/>
  <c r="AG18" i="4"/>
  <c r="AG18" i="4" a="1"/>
  <c r="AF18" i="4"/>
  <c r="AF18" i="4" a="1"/>
  <c r="AE18" i="4"/>
  <c r="AE18" i="4" a="1"/>
  <c r="AB18" i="4"/>
  <c r="AB18" i="4" a="1"/>
  <c r="AA18" i="4"/>
  <c r="AA18" i="4" a="1"/>
  <c r="Z18" i="4"/>
  <c r="Z18" i="4" a="1"/>
  <c r="W18" i="4"/>
  <c r="W18" i="4" a="1"/>
  <c r="V18" i="4"/>
  <c r="V18" i="4" a="1"/>
  <c r="U18" i="4"/>
  <c r="U18" i="4" a="1"/>
  <c r="R18" i="4"/>
  <c r="R18" i="4" a="1"/>
  <c r="Q18" i="4"/>
  <c r="Q18" i="4" a="1"/>
  <c r="P18" i="4"/>
  <c r="P18" i="4" a="1"/>
  <c r="AL17" i="4"/>
  <c r="AL17" i="4" a="1"/>
  <c r="AK17" i="4"/>
  <c r="AK17" i="4" a="1"/>
  <c r="AJ17" i="4"/>
  <c r="AJ17" i="4" a="1"/>
  <c r="AG17" i="4"/>
  <c r="AG17" i="4" a="1"/>
  <c r="AF17" i="4"/>
  <c r="AF17" i="4" a="1"/>
  <c r="AE17" i="4"/>
  <c r="AE17" i="4" a="1"/>
  <c r="AB17" i="4"/>
  <c r="AB17" i="4" a="1"/>
  <c r="AA17" i="4"/>
  <c r="AA17" i="4" a="1"/>
  <c r="Z17" i="4"/>
  <c r="Z17" i="4" a="1"/>
  <c r="W17" i="4"/>
  <c r="W17" i="4" a="1"/>
  <c r="V17" i="4"/>
  <c r="V17" i="4" a="1"/>
  <c r="U17" i="4"/>
  <c r="U17" i="4" a="1"/>
  <c r="R17" i="4"/>
  <c r="R17" i="4" a="1"/>
  <c r="Q17" i="4"/>
  <c r="Q17" i="4" a="1"/>
  <c r="P17" i="4"/>
  <c r="P17" i="4" a="1"/>
  <c r="AL16" i="4"/>
  <c r="AL16" i="4" a="1"/>
  <c r="AK16" i="4"/>
  <c r="AK16" i="4" a="1"/>
  <c r="AJ16" i="4"/>
  <c r="AJ16" i="4" a="1"/>
  <c r="AG16" i="4"/>
  <c r="AG16" i="4" a="1"/>
  <c r="AF16" i="4"/>
  <c r="AF16" i="4" a="1"/>
  <c r="AE16" i="4"/>
  <c r="AE16" i="4" a="1"/>
  <c r="AB16" i="4"/>
  <c r="AB16" i="4" a="1"/>
  <c r="AA16" i="4"/>
  <c r="AA16" i="4" a="1"/>
  <c r="Z16" i="4"/>
  <c r="Z16" i="4" a="1"/>
  <c r="W16" i="4"/>
  <c r="W16" i="4" a="1"/>
  <c r="V16" i="4"/>
  <c r="V16" i="4" a="1"/>
  <c r="U16" i="4"/>
  <c r="U16" i="4" a="1"/>
  <c r="R16" i="4"/>
  <c r="R16" i="4" a="1"/>
  <c r="Q16" i="4"/>
  <c r="Q16" i="4" a="1"/>
  <c r="P16" i="4"/>
  <c r="P16" i="4" a="1"/>
  <c r="AL15" i="4"/>
  <c r="AL15" i="4" a="1"/>
  <c r="AK15" i="4"/>
  <c r="AK15" i="4" a="1"/>
  <c r="AJ15" i="4"/>
  <c r="AJ15" i="4" a="1"/>
  <c r="AG15" i="4"/>
  <c r="AG15" i="4" a="1"/>
  <c r="AF15" i="4"/>
  <c r="AF15" i="4" a="1"/>
  <c r="AE15" i="4"/>
  <c r="AE15" i="4" a="1"/>
  <c r="AB15" i="4"/>
  <c r="AB15" i="4" a="1"/>
  <c r="AA15" i="4"/>
  <c r="AA15" i="4" a="1"/>
  <c r="Z15" i="4"/>
  <c r="Z15" i="4" a="1"/>
  <c r="W15" i="4"/>
  <c r="W15" i="4" a="1"/>
  <c r="V15" i="4"/>
  <c r="V15" i="4" a="1"/>
  <c r="U15" i="4"/>
  <c r="U15" i="4" a="1"/>
  <c r="R15" i="4"/>
  <c r="R15" i="4" a="1"/>
  <c r="Q15" i="4"/>
  <c r="Q15" i="4" a="1"/>
  <c r="P15" i="4"/>
  <c r="P15" i="4" a="1"/>
  <c r="AL14" i="4"/>
  <c r="AL14" i="4" a="1"/>
  <c r="AK14" i="4"/>
  <c r="AK14" i="4" a="1"/>
  <c r="AJ14" i="4"/>
  <c r="AJ14" i="4" a="1"/>
  <c r="AG14" i="4"/>
  <c r="AG14" i="4" a="1"/>
  <c r="AF14" i="4"/>
  <c r="AF14" i="4" a="1"/>
  <c r="AE14" i="4"/>
  <c r="AE14" i="4" a="1"/>
  <c r="AB14" i="4"/>
  <c r="AB14" i="4" a="1"/>
  <c r="AA14" i="4"/>
  <c r="AA14" i="4" a="1"/>
  <c r="Z14" i="4"/>
  <c r="Z14" i="4" a="1"/>
  <c r="W14" i="4"/>
  <c r="W14" i="4" a="1"/>
  <c r="V14" i="4"/>
  <c r="V14" i="4" a="1"/>
  <c r="U14" i="4"/>
  <c r="U14" i="4" a="1"/>
  <c r="R14" i="4"/>
  <c r="Q14" i="4"/>
  <c r="P14" i="4"/>
  <c r="AL13" i="4"/>
  <c r="AL13" i="4" a="1"/>
  <c r="AK13" i="4"/>
  <c r="AK13" i="4" a="1"/>
  <c r="AJ13" i="4"/>
  <c r="AJ13" i="4" a="1"/>
  <c r="AG13" i="4"/>
  <c r="AG13" i="4" a="1"/>
  <c r="AF13" i="4"/>
  <c r="AF13" i="4" a="1"/>
  <c r="AE13" i="4"/>
  <c r="AE13" i="4" a="1"/>
  <c r="AB13" i="4"/>
  <c r="AB13" i="4" a="1"/>
  <c r="AA13" i="4"/>
  <c r="AA13" i="4" a="1"/>
  <c r="Z13" i="4"/>
  <c r="Z13" i="4" a="1"/>
  <c r="W13" i="4"/>
  <c r="W13" i="4" a="1"/>
  <c r="V13" i="4"/>
  <c r="V13" i="4" a="1"/>
  <c r="U13" i="4"/>
  <c r="U13" i="4" a="1"/>
  <c r="R13" i="4"/>
  <c r="Q13" i="4"/>
  <c r="P13" i="4"/>
  <c r="AL12" i="4"/>
  <c r="AL12" i="4" a="1"/>
  <c r="AK12" i="4"/>
  <c r="AK12" i="4" a="1"/>
  <c r="AJ12" i="4"/>
  <c r="AJ12" i="4" a="1"/>
  <c r="AG12" i="4"/>
  <c r="AG12" i="4" a="1"/>
  <c r="AF12" i="4"/>
  <c r="AF12" i="4" a="1"/>
  <c r="AE12" i="4"/>
  <c r="AE12" i="4" a="1"/>
  <c r="AB12" i="4"/>
  <c r="AB12" i="4" a="1"/>
  <c r="AA12" i="4"/>
  <c r="AA12" i="4" a="1"/>
  <c r="Z12" i="4"/>
  <c r="Z12" i="4" a="1"/>
  <c r="W12" i="4"/>
  <c r="W12" i="4" a="1"/>
  <c r="V12" i="4"/>
  <c r="V12" i="4" a="1"/>
  <c r="U12" i="4"/>
  <c r="U12" i="4" a="1"/>
  <c r="R12" i="4"/>
  <c r="R12" i="4" a="1"/>
  <c r="Q12" i="4"/>
  <c r="Q12" i="4" a="1"/>
  <c r="P12" i="4"/>
  <c r="P12" i="4" a="1"/>
  <c r="AL11" i="4"/>
  <c r="AL11" i="4" a="1"/>
  <c r="AK11" i="4"/>
  <c r="AK11" i="4" a="1"/>
  <c r="AJ11" i="4"/>
  <c r="AJ11" i="4" a="1"/>
  <c r="AG11" i="4"/>
  <c r="AG11" i="4" a="1"/>
  <c r="AF11" i="4"/>
  <c r="AF11" i="4" a="1"/>
  <c r="AE11" i="4"/>
  <c r="AE11" i="4" a="1"/>
  <c r="AB11" i="4"/>
  <c r="AB11" i="4" a="1"/>
  <c r="AA11" i="4"/>
  <c r="AA11" i="4" a="1"/>
  <c r="Z11" i="4"/>
  <c r="Z11" i="4" a="1"/>
  <c r="W11" i="4"/>
  <c r="W11" i="4" a="1"/>
  <c r="V11" i="4"/>
  <c r="V11" i="4" a="1"/>
  <c r="U11" i="4"/>
  <c r="U11" i="4" a="1"/>
  <c r="R11" i="4"/>
  <c r="R11" i="4" a="1"/>
  <c r="Q11" i="4"/>
  <c r="Q11" i="4" a="1"/>
  <c r="P11" i="4"/>
  <c r="P11" i="4" a="1"/>
  <c r="AL10" i="4"/>
  <c r="AL10" i="4" a="1"/>
  <c r="AK10" i="4"/>
  <c r="AK10" i="4" a="1"/>
  <c r="AJ10" i="4"/>
  <c r="AJ10" i="4" a="1"/>
  <c r="AG10" i="4"/>
  <c r="AG10" i="4" a="1"/>
  <c r="AF10" i="4"/>
  <c r="AF10" i="4" a="1"/>
  <c r="AE10" i="4"/>
  <c r="AE10" i="4" a="1"/>
  <c r="AB10" i="4"/>
  <c r="AB10" i="4" a="1"/>
  <c r="AA10" i="4"/>
  <c r="AA10" i="4" a="1"/>
  <c r="Z10" i="4"/>
  <c r="Z10" i="4" a="1"/>
  <c r="W10" i="4"/>
  <c r="W10" i="4" a="1"/>
  <c r="V10" i="4"/>
  <c r="V10" i="4" a="1"/>
  <c r="U10" i="4"/>
  <c r="U10" i="4" a="1"/>
  <c r="R10" i="4"/>
  <c r="R10" i="4" a="1"/>
  <c r="Q10" i="4"/>
  <c r="Q10" i="4" a="1"/>
  <c r="P10" i="4"/>
  <c r="P10" i="4" a="1"/>
  <c r="AL9" i="4"/>
  <c r="AL9" i="4" a="1"/>
  <c r="AK9" i="4"/>
  <c r="AK9" i="4" a="1"/>
  <c r="AJ9" i="4"/>
  <c r="AJ9" i="4" a="1"/>
  <c r="AG9" i="4"/>
  <c r="AG9" i="4" a="1"/>
  <c r="AF9" i="4"/>
  <c r="AF9" i="4" a="1"/>
  <c r="AE9" i="4"/>
  <c r="AE9" i="4" a="1"/>
  <c r="AB9" i="4"/>
  <c r="AB9" i="4" a="1"/>
  <c r="AA9" i="4"/>
  <c r="AA9" i="4" a="1"/>
  <c r="Z9" i="4"/>
  <c r="Z9" i="4" a="1"/>
  <c r="W9" i="4"/>
  <c r="W9" i="4" a="1"/>
  <c r="V9" i="4"/>
  <c r="V9" i="4" a="1"/>
  <c r="U9" i="4"/>
  <c r="U9" i="4" a="1"/>
  <c r="R9" i="4"/>
  <c r="R9" i="4" a="1"/>
  <c r="Q9" i="4"/>
  <c r="Q9" i="4" a="1"/>
  <c r="P9" i="4"/>
  <c r="P9" i="4" a="1"/>
  <c r="U40" i="2"/>
  <c r="AJ55" i="7"/>
  <c r="AL22" i="7" a="1"/>
  <c r="AL22" i="7" s="1"/>
  <c r="AK22" i="7" a="1"/>
  <c r="AK22" i="7" s="1"/>
  <c r="AJ22" i="7" a="1"/>
  <c r="AJ22" i="7" s="1"/>
  <c r="V39" i="7" s="1"/>
  <c r="AG22" i="7" a="1"/>
  <c r="AG22" i="7" s="1"/>
  <c r="AF22" i="7" a="1"/>
  <c r="AF22" i="7" s="1"/>
  <c r="AE22" i="7"/>
  <c r="AE22" i="7" a="1"/>
  <c r="AB22" i="7" a="1"/>
  <c r="AB22" i="7" s="1"/>
  <c r="AA22" i="7" a="1"/>
  <c r="AA22" i="7" s="1"/>
  <c r="Z22" i="7" a="1"/>
  <c r="Z22" i="7" s="1"/>
  <c r="W22" i="7" a="1"/>
  <c r="W22" i="7" s="1"/>
  <c r="V22" i="7" a="1"/>
  <c r="V22" i="7" s="1"/>
  <c r="U22" i="7"/>
  <c r="U22" i="7" a="1"/>
  <c r="R22" i="7"/>
  <c r="Q22" i="7"/>
  <c r="P22" i="7"/>
  <c r="AL18" i="7" a="1"/>
  <c r="AL18" i="7" s="1"/>
  <c r="AK18" i="7" a="1"/>
  <c r="AK18" i="7" s="1"/>
  <c r="AJ18" i="7" a="1"/>
  <c r="AJ18" i="7" s="1"/>
  <c r="AG18" i="7" a="1"/>
  <c r="AG18" i="7" s="1"/>
  <c r="AF18" i="7" a="1"/>
  <c r="AF18" i="7" s="1"/>
  <c r="AE18" i="7"/>
  <c r="AE18" i="7" a="1"/>
  <c r="AB18" i="7" a="1"/>
  <c r="AB18" i="7" s="1"/>
  <c r="AA18" i="7" a="1"/>
  <c r="AA18" i="7" s="1"/>
  <c r="Z18" i="7" a="1"/>
  <c r="Z18" i="7" s="1"/>
  <c r="W18" i="7" a="1"/>
  <c r="W18" i="7" s="1"/>
  <c r="V18" i="7" a="1"/>
  <c r="V18" i="7" s="1"/>
  <c r="U18" i="7"/>
  <c r="U18" i="7" a="1"/>
  <c r="R18" i="7" a="1"/>
  <c r="R18" i="7" s="1"/>
  <c r="Q18" i="7" a="1"/>
  <c r="Q18" i="7" s="1"/>
  <c r="P18" i="7" a="1"/>
  <c r="P18" i="7" s="1"/>
  <c r="AL17" i="7" a="1"/>
  <c r="AL17" i="7" s="1"/>
  <c r="AK17" i="7" a="1"/>
  <c r="AK17" i="7" s="1"/>
  <c r="AJ17" i="7" a="1"/>
  <c r="AJ17" i="7" s="1"/>
  <c r="AG17" i="7" a="1"/>
  <c r="AG17" i="7" s="1"/>
  <c r="AF17" i="7" a="1"/>
  <c r="AF17" i="7" s="1"/>
  <c r="AE17" i="7" a="1"/>
  <c r="AE17" i="7" s="1"/>
  <c r="AB17" i="7" a="1"/>
  <c r="AB17" i="7" s="1"/>
  <c r="AA17" i="7" a="1"/>
  <c r="AA17" i="7" s="1"/>
  <c r="Z17" i="7" a="1"/>
  <c r="Z17" i="7" s="1"/>
  <c r="W17" i="7" a="1"/>
  <c r="W17" i="7" s="1"/>
  <c r="V17" i="7" a="1"/>
  <c r="V17" i="7" s="1"/>
  <c r="U17" i="7" a="1"/>
  <c r="U17" i="7" s="1"/>
  <c r="R17" i="7" a="1"/>
  <c r="R17" i="7" s="1"/>
  <c r="Q17" i="7" a="1"/>
  <c r="Q17" i="7" s="1"/>
  <c r="P17" i="7" a="1"/>
  <c r="P17" i="7" s="1"/>
  <c r="AL16" i="7" a="1"/>
  <c r="AL16" i="7" s="1"/>
  <c r="AK16" i="7" a="1"/>
  <c r="AK16" i="7" s="1"/>
  <c r="AJ16" i="7" a="1"/>
  <c r="AJ16" i="7" s="1"/>
  <c r="AG16" i="7" a="1"/>
  <c r="AG16" i="7" s="1"/>
  <c r="AF16" i="7" a="1"/>
  <c r="AF16" i="7" s="1"/>
  <c r="AE16" i="7" a="1"/>
  <c r="AE16" i="7" s="1"/>
  <c r="AB16" i="7" a="1"/>
  <c r="AB16" i="7" s="1"/>
  <c r="AA16" i="7" a="1"/>
  <c r="AA16" i="7" s="1"/>
  <c r="Z16" i="7" a="1"/>
  <c r="Z16" i="7" s="1"/>
  <c r="W16" i="7" a="1"/>
  <c r="W16" i="7" s="1"/>
  <c r="V16" i="7" a="1"/>
  <c r="V16" i="7" s="1"/>
  <c r="U16" i="7" a="1"/>
  <c r="U16" i="7" s="1"/>
  <c r="R16" i="7" a="1"/>
  <c r="R16" i="7" s="1"/>
  <c r="Q16" i="7" a="1"/>
  <c r="Q16" i="7" s="1"/>
  <c r="P16" i="7" a="1"/>
  <c r="P16" i="7" s="1"/>
  <c r="AL15" i="7" a="1"/>
  <c r="AL15" i="7" s="1"/>
  <c r="AK15" i="7" a="1"/>
  <c r="AK15" i="7" s="1"/>
  <c r="AK23" i="7" s="1"/>
  <c r="AJ15" i="7" a="1"/>
  <c r="AJ15" i="7" s="1"/>
  <c r="AG15" i="7" a="1"/>
  <c r="AG15" i="7" s="1"/>
  <c r="AG23" i="7" s="1"/>
  <c r="AF15" i="7" a="1"/>
  <c r="AF15" i="7" s="1"/>
  <c r="AE15" i="7" a="1"/>
  <c r="AE15" i="7" s="1"/>
  <c r="AE23" i="7" s="1"/>
  <c r="AB15" i="7" a="1"/>
  <c r="AB15" i="7" s="1"/>
  <c r="AB23" i="7" s="1"/>
  <c r="AA15" i="7" a="1"/>
  <c r="AA15" i="7" s="1"/>
  <c r="Z15" i="7" a="1"/>
  <c r="Z15" i="7" s="1"/>
  <c r="W15" i="7" a="1"/>
  <c r="W15" i="7" s="1"/>
  <c r="V15" i="7" a="1"/>
  <c r="V15" i="7" s="1"/>
  <c r="V23" i="7" s="1"/>
  <c r="U15" i="7" a="1"/>
  <c r="U15" i="7" s="1"/>
  <c r="R15" i="7" a="1"/>
  <c r="R15" i="7" s="1"/>
  <c r="Q15" i="7" a="1"/>
  <c r="Q15" i="7" s="1"/>
  <c r="Q23" i="7" s="1"/>
  <c r="P15" i="7" a="1"/>
  <c r="P15" i="7" s="1"/>
  <c r="P23" i="7" s="1"/>
  <c r="AL14" i="7" a="1"/>
  <c r="AL14" i="7" s="1"/>
  <c r="AK14" i="7" a="1"/>
  <c r="AK14" i="7" s="1"/>
  <c r="AJ14" i="7" a="1"/>
  <c r="AJ14" i="7" s="1"/>
  <c r="V35" i="7" s="1"/>
  <c r="AG14" i="7" a="1"/>
  <c r="AG14" i="7" s="1"/>
  <c r="AF14" i="7" a="1"/>
  <c r="AF14" i="7" s="1"/>
  <c r="AE14" i="7" a="1"/>
  <c r="AE14" i="7" s="1"/>
  <c r="AB14" i="7" a="1"/>
  <c r="AB14" i="7" s="1"/>
  <c r="AA14" i="7" a="1"/>
  <c r="AA14" i="7" s="1"/>
  <c r="Z14" i="7" a="1"/>
  <c r="Z14" i="7" s="1"/>
  <c r="W14" i="7" a="1"/>
  <c r="W14" i="7" s="1"/>
  <c r="V14" i="7" a="1"/>
  <c r="V14" i="7" s="1"/>
  <c r="U14" i="7" a="1"/>
  <c r="U14" i="7" s="1"/>
  <c r="R14" i="7"/>
  <c r="Q14" i="7"/>
  <c r="P14" i="7"/>
  <c r="AL13" i="7"/>
  <c r="AL13" i="7" a="1"/>
  <c r="AK13" i="7"/>
  <c r="AK13" i="7" a="1"/>
  <c r="AJ13" i="7"/>
  <c r="V34" i="7" s="1"/>
  <c r="AJ13" i="7" a="1"/>
  <c r="AG13" i="7"/>
  <c r="AG13" i="7" a="1"/>
  <c r="AF13" i="7"/>
  <c r="AF13" i="7" a="1"/>
  <c r="AE13" i="7"/>
  <c r="AE13" i="7" a="1"/>
  <c r="AB13" i="7"/>
  <c r="AB13" i="7" a="1"/>
  <c r="AA13" i="7"/>
  <c r="AA13" i="7" a="1"/>
  <c r="Z13" i="7"/>
  <c r="Z13" i="7" a="1"/>
  <c r="W13" i="7"/>
  <c r="W13" i="7" a="1"/>
  <c r="V13" i="7"/>
  <c r="V13" i="7" a="1"/>
  <c r="U13" i="7"/>
  <c r="U13" i="7" a="1"/>
  <c r="R13" i="7"/>
  <c r="Q13" i="7"/>
  <c r="P13" i="7"/>
  <c r="AL12" i="7" a="1"/>
  <c r="AL12" i="7" s="1"/>
  <c r="AK12" i="7" a="1"/>
  <c r="AK12" i="7" s="1"/>
  <c r="AK19" i="7" s="1"/>
  <c r="AJ12" i="7" a="1"/>
  <c r="AJ12" i="7" s="1"/>
  <c r="AG12" i="7" a="1"/>
  <c r="AG12" i="7" s="1"/>
  <c r="AF12" i="7" a="1"/>
  <c r="AF12" i="7" s="1"/>
  <c r="AE12" i="7" a="1"/>
  <c r="AE12" i="7" s="1"/>
  <c r="AB12" i="7" a="1"/>
  <c r="AB12" i="7" s="1"/>
  <c r="AA12" i="7" a="1"/>
  <c r="AA12" i="7" s="1"/>
  <c r="AA19" i="7" s="1"/>
  <c r="Z12" i="7" a="1"/>
  <c r="Z12" i="7" s="1"/>
  <c r="Z19" i="7" s="1"/>
  <c r="W12" i="7" a="1"/>
  <c r="W12" i="7" s="1"/>
  <c r="W19" i="7" s="1"/>
  <c r="V12" i="7" a="1"/>
  <c r="V12" i="7" s="1"/>
  <c r="U12" i="7" a="1"/>
  <c r="U12" i="7" s="1"/>
  <c r="R12" i="7" a="1"/>
  <c r="R12" i="7" s="1"/>
  <c r="Q12" i="7" a="1"/>
  <c r="Q12" i="7" s="1"/>
  <c r="Q19" i="7" s="1"/>
  <c r="P12" i="7" a="1"/>
  <c r="P12" i="7" s="1"/>
  <c r="AL11" i="7" a="1"/>
  <c r="AL11" i="7" s="1"/>
  <c r="AK11" i="7" a="1"/>
  <c r="AK11" i="7" s="1"/>
  <c r="AJ11" i="7" a="1"/>
  <c r="AJ11" i="7" s="1"/>
  <c r="AG11" i="7" a="1"/>
  <c r="AG11" i="7" s="1"/>
  <c r="AF11" i="7" a="1"/>
  <c r="AF11" i="7" s="1"/>
  <c r="AE11" i="7" a="1"/>
  <c r="AE11" i="7" s="1"/>
  <c r="AB11" i="7" a="1"/>
  <c r="AB11" i="7" s="1"/>
  <c r="AA11" i="7" a="1"/>
  <c r="AA11" i="7" s="1"/>
  <c r="Z11" i="7" a="1"/>
  <c r="Z11" i="7" s="1"/>
  <c r="W11" i="7" a="1"/>
  <c r="W11" i="7" s="1"/>
  <c r="V11" i="7" a="1"/>
  <c r="V11" i="7" s="1"/>
  <c r="U11" i="7" a="1"/>
  <c r="U11" i="7" s="1"/>
  <c r="R11" i="7" a="1"/>
  <c r="R11" i="7" s="1"/>
  <c r="Q11" i="7" a="1"/>
  <c r="Q11" i="7" s="1"/>
  <c r="P11" i="7" a="1"/>
  <c r="P11" i="7" s="1"/>
  <c r="AL10" i="7" a="1"/>
  <c r="AL10" i="7" s="1"/>
  <c r="AK10" i="7" a="1"/>
  <c r="AK10" i="7" s="1"/>
  <c r="AJ10" i="7" a="1"/>
  <c r="AJ10" i="7" s="1"/>
  <c r="V33" i="7" s="1"/>
  <c r="AG10" i="7" a="1"/>
  <c r="AG10" i="7" s="1"/>
  <c r="AF10" i="7" a="1"/>
  <c r="AF10" i="7" s="1"/>
  <c r="AE10" i="7" a="1"/>
  <c r="AE10" i="7" s="1"/>
  <c r="AB10" i="7" a="1"/>
  <c r="AB10" i="7" s="1"/>
  <c r="AA10" i="7" a="1"/>
  <c r="AA10" i="7" s="1"/>
  <c r="Z10" i="7" a="1"/>
  <c r="Z10" i="7" s="1"/>
  <c r="W10" i="7" a="1"/>
  <c r="W10" i="7" s="1"/>
  <c r="V10" i="7" a="1"/>
  <c r="V10" i="7" s="1"/>
  <c r="U10" i="7" a="1"/>
  <c r="U10" i="7" s="1"/>
  <c r="R10" i="7" a="1"/>
  <c r="R10" i="7" s="1"/>
  <c r="Q10" i="7" a="1"/>
  <c r="Q10" i="7" s="1"/>
  <c r="P10" i="7" a="1"/>
  <c r="P10" i="7" s="1"/>
  <c r="AL9" i="7" a="1"/>
  <c r="AL9" i="7" s="1"/>
  <c r="AG33" i="7" s="1"/>
  <c r="AK9" i="7" a="1"/>
  <c r="AK9" i="7" s="1"/>
  <c r="AF33" i="7" s="1"/>
  <c r="AJ9" i="7" a="1"/>
  <c r="AJ9" i="7" s="1"/>
  <c r="AG9" i="7" a="1"/>
  <c r="AG9" i="7" s="1"/>
  <c r="AF9" i="7" a="1"/>
  <c r="AF9" i="7" s="1"/>
  <c r="AE9" i="7" a="1"/>
  <c r="AE9" i="7" s="1"/>
  <c r="AB9" i="7" a="1"/>
  <c r="AB9" i="7" s="1"/>
  <c r="AA9" i="7" a="1"/>
  <c r="AA9" i="7" s="1"/>
  <c r="Z9" i="7" a="1"/>
  <c r="Z9" i="7" s="1"/>
  <c r="W9" i="7" a="1"/>
  <c r="W9" i="7" s="1"/>
  <c r="V9" i="7" a="1"/>
  <c r="V9" i="7" s="1"/>
  <c r="U9" i="7" a="1"/>
  <c r="U9" i="7" s="1"/>
  <c r="R9" i="7" a="1"/>
  <c r="R9" i="7" s="1"/>
  <c r="Q9" i="7" a="1"/>
  <c r="Q9" i="7" s="1"/>
  <c r="P9" i="7" a="1"/>
  <c r="P9" i="7" s="1"/>
  <c r="AJ55" i="6"/>
  <c r="AL22" i="6" a="1"/>
  <c r="AL22" i="6" s="1"/>
  <c r="AK22" i="6" a="1"/>
  <c r="AK22" i="6" s="1"/>
  <c r="AJ22" i="6" a="1"/>
  <c r="AJ22" i="6" s="1"/>
  <c r="V39" i="6" s="1"/>
  <c r="AG22" i="6" a="1"/>
  <c r="AG22" i="6" s="1"/>
  <c r="AF22" i="6" a="1"/>
  <c r="AF22" i="6" s="1"/>
  <c r="AE22" i="6" a="1"/>
  <c r="AE22" i="6" s="1"/>
  <c r="AB22" i="6" a="1"/>
  <c r="AB22" i="6" s="1"/>
  <c r="AA22" i="6" a="1"/>
  <c r="AA22" i="6" s="1"/>
  <c r="Z22" i="6" a="1"/>
  <c r="Z22" i="6" s="1"/>
  <c r="W22" i="6" a="1"/>
  <c r="W22" i="6" s="1"/>
  <c r="V22" i="6" a="1"/>
  <c r="V22" i="6" s="1"/>
  <c r="U22" i="6" a="1"/>
  <c r="U22" i="6" s="1"/>
  <c r="R22" i="6"/>
  <c r="Q22" i="6"/>
  <c r="P22" i="6"/>
  <c r="AL18" i="6" a="1"/>
  <c r="AL18" i="6" s="1"/>
  <c r="AK18" i="6" a="1"/>
  <c r="AK18" i="6" s="1"/>
  <c r="AJ18" i="6" a="1"/>
  <c r="AJ18" i="6" s="1"/>
  <c r="AG18" i="6" a="1"/>
  <c r="AG18" i="6" s="1"/>
  <c r="AF18" i="6" a="1"/>
  <c r="AF18" i="6" s="1"/>
  <c r="AE18" i="6" a="1"/>
  <c r="AE18" i="6" s="1"/>
  <c r="AB18" i="6" a="1"/>
  <c r="AB18" i="6" s="1"/>
  <c r="AA18" i="6" a="1"/>
  <c r="AA18" i="6" s="1"/>
  <c r="Z18" i="6" a="1"/>
  <c r="Z18" i="6" s="1"/>
  <c r="W18" i="6" a="1"/>
  <c r="W18" i="6" s="1"/>
  <c r="V18" i="6" a="1"/>
  <c r="V18" i="6" s="1"/>
  <c r="U18" i="6" a="1"/>
  <c r="U18" i="6" s="1"/>
  <c r="R18" i="6" a="1"/>
  <c r="R18" i="6" s="1"/>
  <c r="Q18" i="6" a="1"/>
  <c r="Q18" i="6" s="1"/>
  <c r="P18" i="6" a="1"/>
  <c r="P18" i="6" s="1"/>
  <c r="AL17" i="6" a="1"/>
  <c r="AL17" i="6" s="1"/>
  <c r="AK17" i="6" a="1"/>
  <c r="AK17" i="6" s="1"/>
  <c r="AJ17" i="6" a="1"/>
  <c r="AJ17" i="6" s="1"/>
  <c r="AG17" i="6" a="1"/>
  <c r="AG17" i="6" s="1"/>
  <c r="AF17" i="6" a="1"/>
  <c r="AF17" i="6" s="1"/>
  <c r="AE17" i="6" a="1"/>
  <c r="AE17" i="6" s="1"/>
  <c r="AB17" i="6" a="1"/>
  <c r="AB17" i="6" s="1"/>
  <c r="AA17" i="6" a="1"/>
  <c r="AA17" i="6" s="1"/>
  <c r="Z17" i="6" a="1"/>
  <c r="Z17" i="6" s="1"/>
  <c r="W17" i="6" a="1"/>
  <c r="W17" i="6" s="1"/>
  <c r="V17" i="6" a="1"/>
  <c r="V17" i="6" s="1"/>
  <c r="U17" i="6" a="1"/>
  <c r="U17" i="6" s="1"/>
  <c r="R17" i="6" a="1"/>
  <c r="R17" i="6" s="1"/>
  <c r="Q17" i="6" a="1"/>
  <c r="Q17" i="6" s="1"/>
  <c r="P17" i="6" a="1"/>
  <c r="P17" i="6" s="1"/>
  <c r="AL16" i="6" a="1"/>
  <c r="AL16" i="6" s="1"/>
  <c r="AK16" i="6" a="1"/>
  <c r="AK16" i="6" s="1"/>
  <c r="AJ16" i="6" a="1"/>
  <c r="AJ16" i="6" s="1"/>
  <c r="AG16" i="6" a="1"/>
  <c r="AG16" i="6" s="1"/>
  <c r="AF16" i="6" a="1"/>
  <c r="AF16" i="6" s="1"/>
  <c r="AE16" i="6" a="1"/>
  <c r="AE16" i="6" s="1"/>
  <c r="AB16" i="6" a="1"/>
  <c r="AB16" i="6" s="1"/>
  <c r="AA16" i="6" a="1"/>
  <c r="AA16" i="6" s="1"/>
  <c r="Z16" i="6" a="1"/>
  <c r="Z16" i="6" s="1"/>
  <c r="W16" i="6" a="1"/>
  <c r="W16" i="6" s="1"/>
  <c r="V16" i="6" a="1"/>
  <c r="V16" i="6" s="1"/>
  <c r="U16" i="6" a="1"/>
  <c r="U16" i="6" s="1"/>
  <c r="R16" i="6" a="1"/>
  <c r="R16" i="6" s="1"/>
  <c r="Q16" i="6" a="1"/>
  <c r="Q16" i="6" s="1"/>
  <c r="P16" i="6" a="1"/>
  <c r="P16" i="6" s="1"/>
  <c r="AL15" i="6" a="1"/>
  <c r="AL15" i="6" s="1"/>
  <c r="AK15" i="6" a="1"/>
  <c r="AK15" i="6" s="1"/>
  <c r="AJ15" i="6" a="1"/>
  <c r="AJ15" i="6" s="1"/>
  <c r="AG15" i="6" a="1"/>
  <c r="AG15" i="6" s="1"/>
  <c r="AF15" i="6" a="1"/>
  <c r="AF15" i="6" s="1"/>
  <c r="AE15" i="6" a="1"/>
  <c r="AE15" i="6" s="1"/>
  <c r="AB15" i="6" a="1"/>
  <c r="AB15" i="6" s="1"/>
  <c r="AB23" i="6" s="1"/>
  <c r="AA15" i="6" a="1"/>
  <c r="AA15" i="6" s="1"/>
  <c r="AA23" i="6" s="1"/>
  <c r="Z15" i="6" a="1"/>
  <c r="Z15" i="6" s="1"/>
  <c r="W15" i="6" a="1"/>
  <c r="W15" i="6" s="1"/>
  <c r="W23" i="6" s="1"/>
  <c r="V15" i="6" a="1"/>
  <c r="V15" i="6" s="1"/>
  <c r="V23" i="6" s="1"/>
  <c r="U15" i="6" a="1"/>
  <c r="U15" i="6" s="1"/>
  <c r="R15" i="6" a="1"/>
  <c r="R15" i="6" s="1"/>
  <c r="Q15" i="6" a="1"/>
  <c r="Q15" i="6" s="1"/>
  <c r="P15" i="6" a="1"/>
  <c r="P15" i="6" s="1"/>
  <c r="P23" i="6" s="1"/>
  <c r="AL14" i="6" a="1"/>
  <c r="AL14" i="6" s="1"/>
  <c r="AK14" i="6" a="1"/>
  <c r="AK14" i="6" s="1"/>
  <c r="AJ14" i="6" a="1"/>
  <c r="AJ14" i="6" s="1"/>
  <c r="V35" i="6" s="1"/>
  <c r="AG14" i="6" a="1"/>
  <c r="AG14" i="6" s="1"/>
  <c r="AF14" i="6" a="1"/>
  <c r="AF14" i="6" s="1"/>
  <c r="AE14" i="6" a="1"/>
  <c r="AE14" i="6" s="1"/>
  <c r="AB14" i="6" a="1"/>
  <c r="AB14" i="6" s="1"/>
  <c r="AA14" i="6" a="1"/>
  <c r="AA14" i="6" s="1"/>
  <c r="Z14" i="6" a="1"/>
  <c r="Z14" i="6" s="1"/>
  <c r="W14" i="6" a="1"/>
  <c r="W14" i="6" s="1"/>
  <c r="V14" i="6" a="1"/>
  <c r="V14" i="6" s="1"/>
  <c r="U14" i="6" a="1"/>
  <c r="U14" i="6" s="1"/>
  <c r="R14" i="6"/>
  <c r="Q14" i="6"/>
  <c r="P14" i="6"/>
  <c r="AL13" i="6"/>
  <c r="AL13" i="6" a="1"/>
  <c r="AK13" i="6"/>
  <c r="AK13" i="6" a="1"/>
  <c r="AJ13" i="6"/>
  <c r="V34" i="6" s="1"/>
  <c r="AJ13" i="6" a="1"/>
  <c r="AG13" i="6"/>
  <c r="AG13" i="6" a="1"/>
  <c r="AF13" i="6"/>
  <c r="AF13" i="6" a="1"/>
  <c r="AE13" i="6"/>
  <c r="AE13" i="6" a="1"/>
  <c r="AB13" i="6"/>
  <c r="AB13" i="6" a="1"/>
  <c r="AA13" i="6"/>
  <c r="AA13" i="6" a="1"/>
  <c r="Z13" i="6"/>
  <c r="Z13" i="6" a="1"/>
  <c r="W13" i="6"/>
  <c r="W13" i="6" a="1"/>
  <c r="V13" i="6"/>
  <c r="V13" i="6" a="1"/>
  <c r="U13" i="6"/>
  <c r="U13" i="6" a="1"/>
  <c r="R13" i="6"/>
  <c r="Q13" i="6"/>
  <c r="P13" i="6"/>
  <c r="AL12" i="6" a="1"/>
  <c r="AL12" i="6" s="1"/>
  <c r="AL19" i="6" s="1"/>
  <c r="AK12" i="6" a="1"/>
  <c r="AK12" i="6" s="1"/>
  <c r="AK19" i="6" s="1"/>
  <c r="AJ12" i="6" a="1"/>
  <c r="AJ12" i="6" s="1"/>
  <c r="AG12" i="6" a="1"/>
  <c r="AG12" i="6" s="1"/>
  <c r="AF12" i="6" a="1"/>
  <c r="AF12" i="6" s="1"/>
  <c r="AE12" i="6" a="1"/>
  <c r="AE12" i="6" s="1"/>
  <c r="AE19" i="6" s="1"/>
  <c r="AB12" i="6" a="1"/>
  <c r="AB12" i="6" s="1"/>
  <c r="AA12" i="6" a="1"/>
  <c r="AA12" i="6" s="1"/>
  <c r="Z12" i="6" a="1"/>
  <c r="Z12" i="6" s="1"/>
  <c r="Z19" i="6" s="1"/>
  <c r="W12" i="6" a="1"/>
  <c r="W12" i="6" s="1"/>
  <c r="V12" i="6" a="1"/>
  <c r="V12" i="6" s="1"/>
  <c r="U12" i="6" a="1"/>
  <c r="U12" i="6" s="1"/>
  <c r="R12" i="6" a="1"/>
  <c r="R12" i="6" s="1"/>
  <c r="R19" i="6" s="1"/>
  <c r="Q12" i="6" a="1"/>
  <c r="Q12" i="6" s="1"/>
  <c r="Q19" i="6" s="1"/>
  <c r="P12" i="6" a="1"/>
  <c r="P12" i="6" s="1"/>
  <c r="AL11" i="6" a="1"/>
  <c r="AL11" i="6" s="1"/>
  <c r="AK11" i="6" a="1"/>
  <c r="AK11" i="6" s="1"/>
  <c r="AJ11" i="6" a="1"/>
  <c r="AJ11" i="6" s="1"/>
  <c r="AG11" i="6" a="1"/>
  <c r="AG11" i="6" s="1"/>
  <c r="AF11" i="6" a="1"/>
  <c r="AF11" i="6" s="1"/>
  <c r="AE11" i="6" a="1"/>
  <c r="AE11" i="6" s="1"/>
  <c r="AB11" i="6" a="1"/>
  <c r="AB11" i="6" s="1"/>
  <c r="AA11" i="6" a="1"/>
  <c r="AA11" i="6" s="1"/>
  <c r="Z11" i="6" a="1"/>
  <c r="Z11" i="6" s="1"/>
  <c r="W11" i="6" a="1"/>
  <c r="W11" i="6" s="1"/>
  <c r="V11" i="6" a="1"/>
  <c r="V11" i="6" s="1"/>
  <c r="U11" i="6" a="1"/>
  <c r="U11" i="6" s="1"/>
  <c r="R11" i="6" a="1"/>
  <c r="R11" i="6" s="1"/>
  <c r="Q11" i="6" a="1"/>
  <c r="Q11" i="6" s="1"/>
  <c r="P11" i="6" a="1"/>
  <c r="P11" i="6" s="1"/>
  <c r="AL10" i="6" a="1"/>
  <c r="AL10" i="6" s="1"/>
  <c r="AK10" i="6" a="1"/>
  <c r="AK10" i="6" s="1"/>
  <c r="AJ10" i="6" a="1"/>
  <c r="AJ10" i="6" s="1"/>
  <c r="V33" i="6" s="1"/>
  <c r="AG10" i="6" a="1"/>
  <c r="AG10" i="6" s="1"/>
  <c r="AF10" i="6" a="1"/>
  <c r="AF10" i="6" s="1"/>
  <c r="AE10" i="6" a="1"/>
  <c r="AE10" i="6" s="1"/>
  <c r="AB10" i="6" a="1"/>
  <c r="AB10" i="6" s="1"/>
  <c r="AA10" i="6" a="1"/>
  <c r="AA10" i="6" s="1"/>
  <c r="Z10" i="6" a="1"/>
  <c r="Z10" i="6" s="1"/>
  <c r="W10" i="6" a="1"/>
  <c r="W10" i="6" s="1"/>
  <c r="V10" i="6" a="1"/>
  <c r="V10" i="6" s="1"/>
  <c r="U10" i="6" a="1"/>
  <c r="U10" i="6" s="1"/>
  <c r="R10" i="6" a="1"/>
  <c r="R10" i="6" s="1"/>
  <c r="Q10" i="6" a="1"/>
  <c r="Q10" i="6" s="1"/>
  <c r="P10" i="6" a="1"/>
  <c r="P10" i="6" s="1"/>
  <c r="AL9" i="6" a="1"/>
  <c r="AL9" i="6" s="1"/>
  <c r="AG33" i="6" s="1"/>
  <c r="AK9" i="6" a="1"/>
  <c r="AK9" i="6" s="1"/>
  <c r="AF33" i="6" s="1"/>
  <c r="AJ9" i="6" a="1"/>
  <c r="AJ9" i="6" s="1"/>
  <c r="AG9" i="6" a="1"/>
  <c r="AG9" i="6" s="1"/>
  <c r="AF9" i="6" a="1"/>
  <c r="AF9" i="6" s="1"/>
  <c r="AE9" i="6" a="1"/>
  <c r="AE9" i="6" s="1"/>
  <c r="AB9" i="6" a="1"/>
  <c r="AB9" i="6" s="1"/>
  <c r="AA9" i="6" a="1"/>
  <c r="AA9" i="6" s="1"/>
  <c r="Z9" i="6" a="1"/>
  <c r="Z9" i="6" s="1"/>
  <c r="W9" i="6" a="1"/>
  <c r="W9" i="6" s="1"/>
  <c r="V9" i="6" a="1"/>
  <c r="V9" i="6" s="1"/>
  <c r="U9" i="6" a="1"/>
  <c r="U9" i="6" s="1"/>
  <c r="R9" i="6" a="1"/>
  <c r="R9" i="6" s="1"/>
  <c r="Q9" i="6" a="1"/>
  <c r="Q9" i="6" s="1"/>
  <c r="P9" i="6" a="1"/>
  <c r="P9" i="6" s="1"/>
  <c r="AJ55" i="5"/>
  <c r="AL22" i="5" a="1"/>
  <c r="AL22" i="5" s="1"/>
  <c r="AK22" i="5" a="1"/>
  <c r="AK22" i="5" s="1"/>
  <c r="AJ22" i="5" a="1"/>
  <c r="AJ22" i="5" s="1"/>
  <c r="V39" i="5" s="1"/>
  <c r="AG22" i="5" a="1"/>
  <c r="AG22" i="5" s="1"/>
  <c r="AF22" i="5" a="1"/>
  <c r="AF22" i="5" s="1"/>
  <c r="AE22" i="5" a="1"/>
  <c r="AE22" i="5" s="1"/>
  <c r="AB22" i="5" a="1"/>
  <c r="AB22" i="5" s="1"/>
  <c r="AA22" i="5" a="1"/>
  <c r="AA22" i="5" s="1"/>
  <c r="Z22" i="5" a="1"/>
  <c r="Z22" i="5" s="1"/>
  <c r="W22" i="5" a="1"/>
  <c r="W22" i="5" s="1"/>
  <c r="V22" i="5" a="1"/>
  <c r="V22" i="5" s="1"/>
  <c r="U22" i="5" a="1"/>
  <c r="U22" i="5" s="1"/>
  <c r="R22" i="5"/>
  <c r="Q22" i="5"/>
  <c r="P22" i="5"/>
  <c r="AL18" i="5" a="1"/>
  <c r="AL18" i="5" s="1"/>
  <c r="AK18" i="5" a="1"/>
  <c r="AK18" i="5" s="1"/>
  <c r="AJ18" i="5" a="1"/>
  <c r="AJ18" i="5" s="1"/>
  <c r="AG18" i="5" a="1"/>
  <c r="AG18" i="5" s="1"/>
  <c r="AF18" i="5" a="1"/>
  <c r="AF18" i="5" s="1"/>
  <c r="AE18" i="5" a="1"/>
  <c r="AE18" i="5" s="1"/>
  <c r="AB18" i="5" a="1"/>
  <c r="AB18" i="5" s="1"/>
  <c r="AA18" i="5" a="1"/>
  <c r="AA18" i="5" s="1"/>
  <c r="Z18" i="5" a="1"/>
  <c r="Z18" i="5" s="1"/>
  <c r="W18" i="5" a="1"/>
  <c r="W18" i="5" s="1"/>
  <c r="V18" i="5" a="1"/>
  <c r="V18" i="5" s="1"/>
  <c r="U18" i="5" a="1"/>
  <c r="U18" i="5" s="1"/>
  <c r="R18" i="5" a="1"/>
  <c r="R18" i="5" s="1"/>
  <c r="Q18" i="5" a="1"/>
  <c r="Q18" i="5" s="1"/>
  <c r="P18" i="5" a="1"/>
  <c r="P18" i="5" s="1"/>
  <c r="AL17" i="5" a="1"/>
  <c r="AL17" i="5" s="1"/>
  <c r="AK17" i="5" a="1"/>
  <c r="AK17" i="5" s="1"/>
  <c r="AJ17" i="5" a="1"/>
  <c r="AJ17" i="5" s="1"/>
  <c r="AG17" i="5" a="1"/>
  <c r="AG17" i="5" s="1"/>
  <c r="AF17" i="5" a="1"/>
  <c r="AF17" i="5" s="1"/>
  <c r="AE17" i="5" a="1"/>
  <c r="AE17" i="5" s="1"/>
  <c r="AB17" i="5" a="1"/>
  <c r="AB17" i="5" s="1"/>
  <c r="AA17" i="5" a="1"/>
  <c r="AA17" i="5" s="1"/>
  <c r="Z17" i="5" a="1"/>
  <c r="Z17" i="5" s="1"/>
  <c r="W17" i="5" a="1"/>
  <c r="W17" i="5" s="1"/>
  <c r="V17" i="5" a="1"/>
  <c r="V17" i="5" s="1"/>
  <c r="U17" i="5" a="1"/>
  <c r="U17" i="5" s="1"/>
  <c r="R17" i="5" a="1"/>
  <c r="R17" i="5" s="1"/>
  <c r="Q17" i="5" a="1"/>
  <c r="Q17" i="5" s="1"/>
  <c r="P17" i="5" a="1"/>
  <c r="P17" i="5" s="1"/>
  <c r="AL16" i="5" a="1"/>
  <c r="AL16" i="5" s="1"/>
  <c r="AK16" i="5" a="1"/>
  <c r="AK16" i="5" s="1"/>
  <c r="AJ16" i="5" a="1"/>
  <c r="AJ16" i="5" s="1"/>
  <c r="AG16" i="5" a="1"/>
  <c r="AG16" i="5" s="1"/>
  <c r="AF16" i="5" a="1"/>
  <c r="AF16" i="5" s="1"/>
  <c r="AE16" i="5" a="1"/>
  <c r="AE16" i="5" s="1"/>
  <c r="AB16" i="5" a="1"/>
  <c r="AB16" i="5" s="1"/>
  <c r="AA16" i="5" a="1"/>
  <c r="AA16" i="5" s="1"/>
  <c r="Z16" i="5" a="1"/>
  <c r="Z16" i="5" s="1"/>
  <c r="W16" i="5" a="1"/>
  <c r="W16" i="5" s="1"/>
  <c r="V16" i="5" a="1"/>
  <c r="V16" i="5" s="1"/>
  <c r="U16" i="5" a="1"/>
  <c r="U16" i="5" s="1"/>
  <c r="R16" i="5" a="1"/>
  <c r="R16" i="5" s="1"/>
  <c r="Q16" i="5" a="1"/>
  <c r="Q16" i="5" s="1"/>
  <c r="P16" i="5" a="1"/>
  <c r="P16" i="5" s="1"/>
  <c r="AL15" i="5" a="1"/>
  <c r="AL15" i="5" s="1"/>
  <c r="AK15" i="5" a="1"/>
  <c r="AK15" i="5" s="1"/>
  <c r="AJ15" i="5" a="1"/>
  <c r="AJ15" i="5" s="1"/>
  <c r="AG15" i="5" a="1"/>
  <c r="AG15" i="5" s="1"/>
  <c r="AF15" i="5" a="1"/>
  <c r="AF15" i="5" s="1"/>
  <c r="AE15" i="5" a="1"/>
  <c r="AE15" i="5" s="1"/>
  <c r="AE23" i="5" s="1"/>
  <c r="AB15" i="5" a="1"/>
  <c r="AB15" i="5" s="1"/>
  <c r="AB23" i="5" s="1"/>
  <c r="AA15" i="5" a="1"/>
  <c r="AA15" i="5" s="1"/>
  <c r="AA23" i="5" s="1"/>
  <c r="Z15" i="5" a="1"/>
  <c r="Z15" i="5" s="1"/>
  <c r="W15" i="5" a="1"/>
  <c r="W15" i="5" s="1"/>
  <c r="W23" i="5" s="1"/>
  <c r="V15" i="5" a="1"/>
  <c r="V15" i="5" s="1"/>
  <c r="V23" i="5" s="1"/>
  <c r="U15" i="5" a="1"/>
  <c r="U15" i="5" s="1"/>
  <c r="R15" i="5" a="1"/>
  <c r="R15" i="5" s="1"/>
  <c r="Q15" i="5" a="1"/>
  <c r="Q15" i="5" s="1"/>
  <c r="P15" i="5" a="1"/>
  <c r="P15" i="5" s="1"/>
  <c r="AL14" i="5" a="1"/>
  <c r="AL14" i="5" s="1"/>
  <c r="AK14" i="5" a="1"/>
  <c r="AK14" i="5" s="1"/>
  <c r="AJ14" i="5" a="1"/>
  <c r="AJ14" i="5" s="1"/>
  <c r="V35" i="5" s="1"/>
  <c r="AG14" i="5" a="1"/>
  <c r="AG14" i="5" s="1"/>
  <c r="AF14" i="5" a="1"/>
  <c r="AF14" i="5" s="1"/>
  <c r="AE14" i="5" a="1"/>
  <c r="AE14" i="5" s="1"/>
  <c r="AB14" i="5" a="1"/>
  <c r="AB14" i="5" s="1"/>
  <c r="AA14" i="5" a="1"/>
  <c r="AA14" i="5" s="1"/>
  <c r="Z14" i="5" a="1"/>
  <c r="Z14" i="5" s="1"/>
  <c r="W14" i="5" a="1"/>
  <c r="W14" i="5" s="1"/>
  <c r="V14" i="5" a="1"/>
  <c r="V14" i="5" s="1"/>
  <c r="U14" i="5" a="1"/>
  <c r="U14" i="5" s="1"/>
  <c r="R14" i="5"/>
  <c r="Q14" i="5"/>
  <c r="P14" i="5"/>
  <c r="AL13" i="5"/>
  <c r="AL13" i="5" a="1"/>
  <c r="AK13" i="5"/>
  <c r="AK13" i="5" a="1"/>
  <c r="AJ13" i="5"/>
  <c r="V34" i="5" s="1"/>
  <c r="AJ13" i="5" a="1"/>
  <c r="AG13" i="5"/>
  <c r="AG13" i="5" a="1"/>
  <c r="AF13" i="5"/>
  <c r="AF13" i="5" a="1"/>
  <c r="AE13" i="5"/>
  <c r="AE13" i="5" a="1"/>
  <c r="AB13" i="5"/>
  <c r="AB13" i="5" a="1"/>
  <c r="AA13" i="5"/>
  <c r="AA13" i="5" a="1"/>
  <c r="Z13" i="5"/>
  <c r="Z13" i="5" a="1"/>
  <c r="W13" i="5"/>
  <c r="W13" i="5" a="1"/>
  <c r="V13" i="5"/>
  <c r="V13" i="5" a="1"/>
  <c r="U13" i="5"/>
  <c r="U13" i="5" a="1"/>
  <c r="R13" i="5"/>
  <c r="Q13" i="5"/>
  <c r="P13" i="5"/>
  <c r="AL12" i="5" a="1"/>
  <c r="AL12" i="5" s="1"/>
  <c r="AL19" i="5" s="1"/>
  <c r="AK12" i="5" a="1"/>
  <c r="AK12" i="5" s="1"/>
  <c r="AK19" i="5" s="1"/>
  <c r="AJ12" i="5" a="1"/>
  <c r="AJ12" i="5" s="1"/>
  <c r="AG12" i="5" a="1"/>
  <c r="AG12" i="5" s="1"/>
  <c r="AF12" i="5" a="1"/>
  <c r="AF12" i="5" s="1"/>
  <c r="AE12" i="5" a="1"/>
  <c r="AE12" i="5" s="1"/>
  <c r="AE19" i="5" s="1"/>
  <c r="AB12" i="5" a="1"/>
  <c r="AB12" i="5" s="1"/>
  <c r="AA12" i="5" a="1"/>
  <c r="AA12" i="5" s="1"/>
  <c r="Z12" i="5" a="1"/>
  <c r="Z12" i="5" s="1"/>
  <c r="W12" i="5" a="1"/>
  <c r="W12" i="5" s="1"/>
  <c r="V12" i="5" a="1"/>
  <c r="V12" i="5" s="1"/>
  <c r="U12" i="5" a="1"/>
  <c r="U12" i="5" s="1"/>
  <c r="U19" i="5" s="1"/>
  <c r="R12" i="5" a="1"/>
  <c r="R12" i="5" s="1"/>
  <c r="R19" i="5" s="1"/>
  <c r="Q12" i="5" a="1"/>
  <c r="Q12" i="5" s="1"/>
  <c r="Q19" i="5" s="1"/>
  <c r="P12" i="5" a="1"/>
  <c r="P12" i="5" s="1"/>
  <c r="AL11" i="5" a="1"/>
  <c r="AL11" i="5" s="1"/>
  <c r="AK11" i="5" a="1"/>
  <c r="AK11" i="5" s="1"/>
  <c r="AJ11" i="5" a="1"/>
  <c r="AJ11" i="5" s="1"/>
  <c r="AG11" i="5" a="1"/>
  <c r="AG11" i="5" s="1"/>
  <c r="AF11" i="5" a="1"/>
  <c r="AF11" i="5" s="1"/>
  <c r="AE11" i="5" a="1"/>
  <c r="AE11" i="5" s="1"/>
  <c r="AB11" i="5" a="1"/>
  <c r="AB11" i="5" s="1"/>
  <c r="AA11" i="5" a="1"/>
  <c r="AA11" i="5" s="1"/>
  <c r="Z11" i="5" a="1"/>
  <c r="Z11" i="5" s="1"/>
  <c r="W11" i="5" a="1"/>
  <c r="W11" i="5" s="1"/>
  <c r="V11" i="5" a="1"/>
  <c r="V11" i="5" s="1"/>
  <c r="U11" i="5" a="1"/>
  <c r="U11" i="5" s="1"/>
  <c r="R11" i="5" a="1"/>
  <c r="R11" i="5" s="1"/>
  <c r="Q11" i="5" a="1"/>
  <c r="Q11" i="5" s="1"/>
  <c r="P11" i="5" a="1"/>
  <c r="P11" i="5" s="1"/>
  <c r="AL10" i="5" a="1"/>
  <c r="AL10" i="5" s="1"/>
  <c r="AK10" i="5" a="1"/>
  <c r="AK10" i="5" s="1"/>
  <c r="AJ10" i="5" a="1"/>
  <c r="AJ10" i="5" s="1"/>
  <c r="V33" i="5" s="1"/>
  <c r="AG10" i="5" a="1"/>
  <c r="AG10" i="5" s="1"/>
  <c r="AF10" i="5" a="1"/>
  <c r="AF10" i="5" s="1"/>
  <c r="AE10" i="5" a="1"/>
  <c r="AE10" i="5" s="1"/>
  <c r="AB10" i="5" a="1"/>
  <c r="AB10" i="5" s="1"/>
  <c r="AA10" i="5" a="1"/>
  <c r="AA10" i="5" s="1"/>
  <c r="Z10" i="5" a="1"/>
  <c r="Z10" i="5" s="1"/>
  <c r="W10" i="5" a="1"/>
  <c r="W10" i="5" s="1"/>
  <c r="V10" i="5" a="1"/>
  <c r="V10" i="5" s="1"/>
  <c r="U10" i="5" a="1"/>
  <c r="U10" i="5" s="1"/>
  <c r="R10" i="5" a="1"/>
  <c r="R10" i="5" s="1"/>
  <c r="Q10" i="5" a="1"/>
  <c r="Q10" i="5" s="1"/>
  <c r="P10" i="5" a="1"/>
  <c r="P10" i="5" s="1"/>
  <c r="AL9" i="5" a="1"/>
  <c r="AL9" i="5" s="1"/>
  <c r="AG33" i="5" s="1"/>
  <c r="AK9" i="5" a="1"/>
  <c r="AK9" i="5" s="1"/>
  <c r="AF33" i="5" s="1"/>
  <c r="AJ9" i="5" a="1"/>
  <c r="AJ9" i="5" s="1"/>
  <c r="AG9" i="5" a="1"/>
  <c r="AG9" i="5" s="1"/>
  <c r="AF9" i="5" a="1"/>
  <c r="AF9" i="5" s="1"/>
  <c r="AE9" i="5" a="1"/>
  <c r="AE9" i="5" s="1"/>
  <c r="AB9" i="5" a="1"/>
  <c r="AB9" i="5" s="1"/>
  <c r="AA9" i="5" a="1"/>
  <c r="AA9" i="5" s="1"/>
  <c r="Z9" i="5" a="1"/>
  <c r="Z9" i="5" s="1"/>
  <c r="W9" i="5" a="1"/>
  <c r="W9" i="5" s="1"/>
  <c r="V9" i="5" a="1"/>
  <c r="V9" i="5" s="1"/>
  <c r="U9" i="5" a="1"/>
  <c r="U9" i="5" s="1"/>
  <c r="R9" i="5" a="1"/>
  <c r="R9" i="5" s="1"/>
  <c r="Q9" i="5" a="1"/>
  <c r="Q9" i="5" s="1"/>
  <c r="P9" i="5" a="1"/>
  <c r="P9" i="5" s="1"/>
  <c r="AJ55" i="2"/>
  <c r="AL22" i="2" a="1"/>
  <c r="AL22" i="2" s="1"/>
  <c r="AK22" i="2" a="1"/>
  <c r="AK22" i="2" s="1"/>
  <c r="AJ22" i="2" a="1"/>
  <c r="AJ22" i="2" s="1"/>
  <c r="V39" i="2" s="1"/>
  <c r="AG22" i="2" a="1"/>
  <c r="AG22" i="2" s="1"/>
  <c r="AF22" i="2" a="1"/>
  <c r="AF22" i="2" s="1"/>
  <c r="AE22" i="2" a="1"/>
  <c r="AE22" i="2" s="1"/>
  <c r="AB22" i="2" a="1"/>
  <c r="AB22" i="2" s="1"/>
  <c r="AA22" i="2" a="1"/>
  <c r="AA22" i="2" s="1"/>
  <c r="Z22" i="2" a="1"/>
  <c r="Z22" i="2" s="1"/>
  <c r="W22" i="2" a="1"/>
  <c r="W22" i="2" s="1"/>
  <c r="V22" i="2" a="1"/>
  <c r="V22" i="2" s="1"/>
  <c r="U22" i="2" a="1"/>
  <c r="U22" i="2" s="1"/>
  <c r="R22" i="2"/>
  <c r="Q22" i="2"/>
  <c r="P22" i="2"/>
  <c r="AL18" i="2" a="1"/>
  <c r="AL18" i="2" s="1"/>
  <c r="AK18" i="2" a="1"/>
  <c r="AK18" i="2" s="1"/>
  <c r="AJ18" i="2" a="1"/>
  <c r="AJ18" i="2" s="1"/>
  <c r="AG18" i="2" a="1"/>
  <c r="AG18" i="2" s="1"/>
  <c r="AF18" i="2" a="1"/>
  <c r="AF18" i="2" s="1"/>
  <c r="AE18" i="2" a="1"/>
  <c r="AE18" i="2" s="1"/>
  <c r="AB18" i="2" a="1"/>
  <c r="AB18" i="2" s="1"/>
  <c r="AA18" i="2" a="1"/>
  <c r="AA18" i="2" s="1"/>
  <c r="Z18" i="2" a="1"/>
  <c r="Z18" i="2" s="1"/>
  <c r="W18" i="2" a="1"/>
  <c r="W18" i="2" s="1"/>
  <c r="V18" i="2" a="1"/>
  <c r="V18" i="2" s="1"/>
  <c r="U18" i="2" a="1"/>
  <c r="U18" i="2" s="1"/>
  <c r="R18" i="2" a="1"/>
  <c r="R18" i="2" s="1"/>
  <c r="Q18" i="2" a="1"/>
  <c r="Q18" i="2" s="1"/>
  <c r="P18" i="2" a="1"/>
  <c r="P18" i="2" s="1"/>
  <c r="AL17" i="2" a="1"/>
  <c r="AL17" i="2" s="1"/>
  <c r="AK17" i="2" a="1"/>
  <c r="AK17" i="2" s="1"/>
  <c r="AJ17" i="2" a="1"/>
  <c r="AJ17" i="2" s="1"/>
  <c r="AG17" i="2" a="1"/>
  <c r="AG17" i="2" s="1"/>
  <c r="AF17" i="2" a="1"/>
  <c r="AF17" i="2" s="1"/>
  <c r="AE17" i="2" a="1"/>
  <c r="AE17" i="2" s="1"/>
  <c r="AB17" i="2" a="1"/>
  <c r="AB17" i="2" s="1"/>
  <c r="AA17" i="2" a="1"/>
  <c r="AA17" i="2" s="1"/>
  <c r="Z17" i="2" a="1"/>
  <c r="Z17" i="2" s="1"/>
  <c r="W17" i="2" a="1"/>
  <c r="W17" i="2" s="1"/>
  <c r="V17" i="2" a="1"/>
  <c r="V17" i="2" s="1"/>
  <c r="U17" i="2" a="1"/>
  <c r="U17" i="2" s="1"/>
  <c r="R17" i="2" a="1"/>
  <c r="R17" i="2" s="1"/>
  <c r="Q17" i="2" a="1"/>
  <c r="Q17" i="2" s="1"/>
  <c r="P17" i="2" a="1"/>
  <c r="P17" i="2" s="1"/>
  <c r="AL16" i="2" a="1"/>
  <c r="AL16" i="2" s="1"/>
  <c r="AK16" i="2" a="1"/>
  <c r="AK16" i="2" s="1"/>
  <c r="AJ16" i="2" a="1"/>
  <c r="AJ16" i="2" s="1"/>
  <c r="AG16" i="2" a="1"/>
  <c r="AG16" i="2" s="1"/>
  <c r="AF16" i="2" a="1"/>
  <c r="AF16" i="2" s="1"/>
  <c r="AE16" i="2" a="1"/>
  <c r="AE16" i="2" s="1"/>
  <c r="AB16" i="2" a="1"/>
  <c r="AB16" i="2" s="1"/>
  <c r="AA16" i="2" a="1"/>
  <c r="AA16" i="2" s="1"/>
  <c r="Z16" i="2" a="1"/>
  <c r="Z16" i="2" s="1"/>
  <c r="W16" i="2" a="1"/>
  <c r="W16" i="2" s="1"/>
  <c r="V16" i="2" a="1"/>
  <c r="V16" i="2" s="1"/>
  <c r="U16" i="2" a="1"/>
  <c r="U16" i="2" s="1"/>
  <c r="R16" i="2" a="1"/>
  <c r="R16" i="2" s="1"/>
  <c r="Q16" i="2" a="1"/>
  <c r="Q16" i="2" s="1"/>
  <c r="P16" i="2" a="1"/>
  <c r="P16" i="2" s="1"/>
  <c r="AL15" i="2" a="1"/>
  <c r="AL15" i="2" s="1"/>
  <c r="AK15" i="2" a="1"/>
  <c r="AK15" i="2" s="1"/>
  <c r="AJ15" i="2" a="1"/>
  <c r="AJ15" i="2" s="1"/>
  <c r="AG15" i="2" a="1"/>
  <c r="AG15" i="2" s="1"/>
  <c r="AF15" i="2" a="1"/>
  <c r="AF15" i="2" s="1"/>
  <c r="AE15" i="2" a="1"/>
  <c r="AE15" i="2" s="1"/>
  <c r="AE23" i="2" s="1"/>
  <c r="AB15" i="2" a="1"/>
  <c r="AB15" i="2" s="1"/>
  <c r="AB23" i="2" s="1"/>
  <c r="AA15" i="2" a="1"/>
  <c r="AA15" i="2" s="1"/>
  <c r="AA23" i="2" s="1"/>
  <c r="Z15" i="2" a="1"/>
  <c r="Z15" i="2" s="1"/>
  <c r="W15" i="2" a="1"/>
  <c r="W15" i="2" s="1"/>
  <c r="W23" i="2" s="1"/>
  <c r="V15" i="2" a="1"/>
  <c r="V15" i="2" s="1"/>
  <c r="V23" i="2" s="1"/>
  <c r="U15" i="2" a="1"/>
  <c r="U15" i="2" s="1"/>
  <c r="R15" i="2" a="1"/>
  <c r="R15" i="2" s="1"/>
  <c r="Q15" i="2" a="1"/>
  <c r="Q15" i="2" s="1"/>
  <c r="P15" i="2" a="1"/>
  <c r="P15" i="2" s="1"/>
  <c r="AL14" i="2" a="1"/>
  <c r="AL14" i="2" s="1"/>
  <c r="AK14" i="2" a="1"/>
  <c r="AK14" i="2" s="1"/>
  <c r="AJ14" i="2" a="1"/>
  <c r="AJ14" i="2" s="1"/>
  <c r="V35" i="2" s="1"/>
  <c r="AG14" i="2" a="1"/>
  <c r="AG14" i="2" s="1"/>
  <c r="AF14" i="2" a="1"/>
  <c r="AF14" i="2" s="1"/>
  <c r="AE14" i="2" a="1"/>
  <c r="AE14" i="2" s="1"/>
  <c r="AB14" i="2" a="1"/>
  <c r="AB14" i="2" s="1"/>
  <c r="AA14" i="2" a="1"/>
  <c r="AA14" i="2" s="1"/>
  <c r="Z14" i="2" a="1"/>
  <c r="Z14" i="2" s="1"/>
  <c r="W14" i="2" a="1"/>
  <c r="W14" i="2" s="1"/>
  <c r="V14" i="2" a="1"/>
  <c r="V14" i="2" s="1"/>
  <c r="U14" i="2" a="1"/>
  <c r="U14" i="2" s="1"/>
  <c r="R14" i="2"/>
  <c r="Q14" i="2"/>
  <c r="P14" i="2"/>
  <c r="AL13" i="2"/>
  <c r="AL13" i="2" a="1"/>
  <c r="AK13" i="2"/>
  <c r="AK13" i="2" a="1"/>
  <c r="AJ13" i="2"/>
  <c r="V34" i="2" s="1"/>
  <c r="AJ13" i="2" a="1"/>
  <c r="AG13" i="2"/>
  <c r="AG13" i="2" a="1"/>
  <c r="AF13" i="2"/>
  <c r="AF13" i="2" a="1"/>
  <c r="AE13" i="2"/>
  <c r="AE13" i="2" a="1"/>
  <c r="AB13" i="2"/>
  <c r="AB13" i="2" a="1"/>
  <c r="AA13" i="2"/>
  <c r="AA13" i="2" a="1"/>
  <c r="Z13" i="2"/>
  <c r="Z13" i="2" a="1"/>
  <c r="W13" i="2"/>
  <c r="W13" i="2" a="1"/>
  <c r="V13" i="2"/>
  <c r="V13" i="2" a="1"/>
  <c r="U13" i="2"/>
  <c r="U13" i="2" a="1"/>
  <c r="R13" i="2"/>
  <c r="Q13" i="2"/>
  <c r="P13" i="2"/>
  <c r="AL12" i="2" a="1"/>
  <c r="AL12" i="2" s="1"/>
  <c r="AL19" i="2" s="1"/>
  <c r="AK12" i="2" a="1"/>
  <c r="AK12" i="2" s="1"/>
  <c r="AK19" i="2" s="1"/>
  <c r="AJ12" i="2" a="1"/>
  <c r="AJ12" i="2" s="1"/>
  <c r="AG12" i="2" a="1"/>
  <c r="AG12" i="2" s="1"/>
  <c r="AF12" i="2" a="1"/>
  <c r="AF12" i="2" s="1"/>
  <c r="AE12" i="2" a="1"/>
  <c r="AE12" i="2" s="1"/>
  <c r="AB12" i="2" a="1"/>
  <c r="AB12" i="2" s="1"/>
  <c r="AA12" i="2" a="1"/>
  <c r="AA12" i="2" s="1"/>
  <c r="Z12" i="2" a="1"/>
  <c r="Z12" i="2" s="1"/>
  <c r="W12" i="2" a="1"/>
  <c r="W12" i="2" s="1"/>
  <c r="V12" i="2" a="1"/>
  <c r="V12" i="2" s="1"/>
  <c r="U12" i="2" a="1"/>
  <c r="U12" i="2" s="1"/>
  <c r="U19" i="2" s="1"/>
  <c r="R12" i="2" a="1"/>
  <c r="R12" i="2" s="1"/>
  <c r="R19" i="2" s="1"/>
  <c r="Q12" i="2" a="1"/>
  <c r="Q12" i="2" s="1"/>
  <c r="Q19" i="2" s="1"/>
  <c r="P12" i="2" a="1"/>
  <c r="P12" i="2" s="1"/>
  <c r="AL11" i="2" a="1"/>
  <c r="AL11" i="2" s="1"/>
  <c r="AK11" i="2" a="1"/>
  <c r="AK11" i="2" s="1"/>
  <c r="AJ11" i="2" a="1"/>
  <c r="AJ11" i="2" s="1"/>
  <c r="AG11" i="2" a="1"/>
  <c r="AG11" i="2" s="1"/>
  <c r="AF11" i="2" a="1"/>
  <c r="AF11" i="2" s="1"/>
  <c r="AE11" i="2" a="1"/>
  <c r="AE11" i="2" s="1"/>
  <c r="AB11" i="2" a="1"/>
  <c r="AB11" i="2" s="1"/>
  <c r="AA11" i="2" a="1"/>
  <c r="AA11" i="2" s="1"/>
  <c r="Z11" i="2" a="1"/>
  <c r="Z11" i="2" s="1"/>
  <c r="W11" i="2" a="1"/>
  <c r="W11" i="2" s="1"/>
  <c r="V11" i="2" a="1"/>
  <c r="V11" i="2" s="1"/>
  <c r="U11" i="2" a="1"/>
  <c r="U11" i="2" s="1"/>
  <c r="R11" i="2" a="1"/>
  <c r="R11" i="2" s="1"/>
  <c r="Q11" i="2" a="1"/>
  <c r="Q11" i="2" s="1"/>
  <c r="P11" i="2" a="1"/>
  <c r="P11" i="2" s="1"/>
  <c r="AL10" i="2" a="1"/>
  <c r="AL10" i="2" s="1"/>
  <c r="AK10" i="2" a="1"/>
  <c r="AK10" i="2" s="1"/>
  <c r="AJ10" i="2" a="1"/>
  <c r="AJ10" i="2" s="1"/>
  <c r="V33" i="2" s="1"/>
  <c r="AG10" i="2" a="1"/>
  <c r="AG10" i="2" s="1"/>
  <c r="AF10" i="2" a="1"/>
  <c r="AF10" i="2" s="1"/>
  <c r="AE10" i="2" a="1"/>
  <c r="AE10" i="2" s="1"/>
  <c r="AB10" i="2" a="1"/>
  <c r="AB10" i="2" s="1"/>
  <c r="AA10" i="2" a="1"/>
  <c r="AA10" i="2" s="1"/>
  <c r="Z10" i="2" a="1"/>
  <c r="Z10" i="2" s="1"/>
  <c r="W10" i="2" a="1"/>
  <c r="W10" i="2" s="1"/>
  <c r="V10" i="2" a="1"/>
  <c r="V10" i="2" s="1"/>
  <c r="U10" i="2" a="1"/>
  <c r="U10" i="2" s="1"/>
  <c r="R10" i="2" a="1"/>
  <c r="R10" i="2" s="1"/>
  <c r="Q10" i="2" a="1"/>
  <c r="Q10" i="2" s="1"/>
  <c r="P10" i="2" a="1"/>
  <c r="P10" i="2" s="1"/>
  <c r="AL9" i="2" a="1"/>
  <c r="AL9" i="2" s="1"/>
  <c r="AG33" i="2" s="1"/>
  <c r="AK9" i="2" a="1"/>
  <c r="AK9" i="2" s="1"/>
  <c r="AF33" i="2" s="1"/>
  <c r="AJ9" i="2" a="1"/>
  <c r="AJ9" i="2" s="1"/>
  <c r="AG9" i="2" a="1"/>
  <c r="AG9" i="2" s="1"/>
  <c r="AF9" i="2" a="1"/>
  <c r="AF9" i="2" s="1"/>
  <c r="AE9" i="2" a="1"/>
  <c r="AE9" i="2" s="1"/>
  <c r="AB9" i="2" a="1"/>
  <c r="AB9" i="2" s="1"/>
  <c r="AA9" i="2" a="1"/>
  <c r="AA9" i="2" s="1"/>
  <c r="Z9" i="2" a="1"/>
  <c r="Z9" i="2" s="1"/>
  <c r="W9" i="2" a="1"/>
  <c r="W9" i="2" s="1"/>
  <c r="V9" i="2" a="1"/>
  <c r="V9" i="2" s="1"/>
  <c r="U9" i="2" a="1"/>
  <c r="U9" i="2" s="1"/>
  <c r="R9" i="2" a="1"/>
  <c r="R9" i="2" s="1"/>
  <c r="Q9" i="2" a="1"/>
  <c r="Q9" i="2" s="1"/>
  <c r="P9" i="2" a="1"/>
  <c r="P9" i="2" s="1"/>
  <c r="AE24" i="4" l="1"/>
  <c r="AE21" i="4"/>
  <c r="AF21" i="4"/>
  <c r="AF24" i="4"/>
  <c r="AK24" i="4"/>
  <c r="AK21" i="4"/>
  <c r="V41" i="4" s="1"/>
  <c r="P39" i="4"/>
  <c r="AL21" i="4"/>
  <c r="AL24" i="4"/>
  <c r="U21" i="4"/>
  <c r="U24" i="4"/>
  <c r="AB24" i="4"/>
  <c r="AB21" i="4"/>
  <c r="W21" i="4"/>
  <c r="AG24" i="4"/>
  <c r="Z21" i="4"/>
  <c r="AJ24" i="4"/>
  <c r="AA21" i="4"/>
  <c r="Z24" i="4"/>
  <c r="AH34" i="4"/>
  <c r="U39" i="7"/>
  <c r="AF23" i="7"/>
  <c r="AB19" i="7"/>
  <c r="W20" i="7"/>
  <c r="AJ41" i="7"/>
  <c r="AH32" i="7" s="1"/>
  <c r="P35" i="7"/>
  <c r="U32" i="7"/>
  <c r="P31" i="7"/>
  <c r="AB26" i="7"/>
  <c r="AB28" i="7" s="1"/>
  <c r="AC44" i="7"/>
  <c r="AE32" i="7"/>
  <c r="Y44" i="7"/>
  <c r="AB27" i="7"/>
  <c r="AE19" i="7"/>
  <c r="AE20" i="7" s="1"/>
  <c r="V36" i="7"/>
  <c r="AJ23" i="7"/>
  <c r="V40" i="7" s="1"/>
  <c r="U37" i="7"/>
  <c r="Z20" i="7"/>
  <c r="U38" i="7"/>
  <c r="AD44" i="7"/>
  <c r="AF32" i="7"/>
  <c r="AF34" i="7" s="1"/>
  <c r="Z44" i="7"/>
  <c r="P36" i="7"/>
  <c r="AF19" i="7"/>
  <c r="AA20" i="7"/>
  <c r="P37" i="7"/>
  <c r="AE44" i="7"/>
  <c r="AG32" i="7"/>
  <c r="AG34" i="7" s="1"/>
  <c r="AA44" i="7"/>
  <c r="AG19" i="7"/>
  <c r="R23" i="7"/>
  <c r="AL23" i="7"/>
  <c r="AB20" i="7"/>
  <c r="W27" i="7"/>
  <c r="W26" i="7"/>
  <c r="W28" i="7" s="1"/>
  <c r="AG26" i="7"/>
  <c r="AG28" i="7" s="1"/>
  <c r="AG27" i="7"/>
  <c r="U33" i="7"/>
  <c r="P19" i="7"/>
  <c r="AJ19" i="7"/>
  <c r="V38" i="7" s="1"/>
  <c r="U35" i="7"/>
  <c r="U23" i="7"/>
  <c r="R19" i="7"/>
  <c r="R20" i="7" s="1"/>
  <c r="R21" i="7" s="1"/>
  <c r="AL19" i="7"/>
  <c r="AL20" i="7" s="1"/>
  <c r="W23" i="7"/>
  <c r="AG20" i="7"/>
  <c r="AF20" i="7"/>
  <c r="R27" i="7"/>
  <c r="P33" i="7"/>
  <c r="R26" i="7"/>
  <c r="R28" i="7" s="1"/>
  <c r="P38" i="7"/>
  <c r="V32" i="7"/>
  <c r="P32" i="7"/>
  <c r="AL26" i="7"/>
  <c r="AL28" i="7" s="1"/>
  <c r="AL27" i="7"/>
  <c r="AJ42" i="7"/>
  <c r="AH33" i="7" s="1"/>
  <c r="AE33" i="7"/>
  <c r="U19" i="7"/>
  <c r="U20" i="7" s="1"/>
  <c r="Z23" i="7"/>
  <c r="U36" i="7"/>
  <c r="P20" i="7"/>
  <c r="P21" i="7" s="1"/>
  <c r="AJ20" i="7"/>
  <c r="V37" i="7"/>
  <c r="V19" i="7"/>
  <c r="V20" i="7" s="1"/>
  <c r="AA23" i="7"/>
  <c r="Q20" i="7"/>
  <c r="Q21" i="7" s="1"/>
  <c r="AK20" i="7"/>
  <c r="U34" i="7"/>
  <c r="AF20" i="6"/>
  <c r="R27" i="6"/>
  <c r="P33" i="6"/>
  <c r="R26" i="6"/>
  <c r="R28" i="6" s="1"/>
  <c r="P38" i="6"/>
  <c r="V32" i="6"/>
  <c r="V41" i="6"/>
  <c r="P32" i="6"/>
  <c r="AL26" i="6"/>
  <c r="AL28" i="6" s="1"/>
  <c r="AL27" i="6"/>
  <c r="AJ42" i="6"/>
  <c r="AH33" i="6" s="1"/>
  <c r="AE33" i="6"/>
  <c r="U19" i="6"/>
  <c r="Z23" i="6"/>
  <c r="U36" i="6"/>
  <c r="V37" i="6"/>
  <c r="U39" i="6"/>
  <c r="V19" i="6"/>
  <c r="V20" i="6" s="1"/>
  <c r="Q20" i="6"/>
  <c r="Q21" i="6" s="1"/>
  <c r="AK20" i="6"/>
  <c r="W19" i="6"/>
  <c r="R20" i="6"/>
  <c r="R21" i="6" s="1"/>
  <c r="AL20" i="6"/>
  <c r="U20" i="6"/>
  <c r="AE23" i="6"/>
  <c r="AA19" i="6"/>
  <c r="U38" i="6" s="1"/>
  <c r="AF23" i="6"/>
  <c r="W27" i="6"/>
  <c r="W26" i="6"/>
  <c r="W28" i="6" s="1"/>
  <c r="AB19" i="6"/>
  <c r="AG23" i="6"/>
  <c r="W20" i="6"/>
  <c r="AJ41" i="6"/>
  <c r="AH32" i="6" s="1"/>
  <c r="P35" i="6"/>
  <c r="U32" i="6"/>
  <c r="P31" i="6"/>
  <c r="AB26" i="6"/>
  <c r="AB28" i="6" s="1"/>
  <c r="AC44" i="6"/>
  <c r="AE32" i="6"/>
  <c r="AE34" i="6" s="1"/>
  <c r="Y44" i="6"/>
  <c r="AB27" i="6"/>
  <c r="V36" i="6"/>
  <c r="AJ23" i="6"/>
  <c r="U37" i="6"/>
  <c r="Z20" i="6"/>
  <c r="AD44" i="6"/>
  <c r="AF32" i="6"/>
  <c r="AF34" i="6" s="1"/>
  <c r="Z44" i="6"/>
  <c r="P36" i="6"/>
  <c r="AF19" i="6"/>
  <c r="Q23" i="6"/>
  <c r="AK23" i="6"/>
  <c r="AA20" i="6"/>
  <c r="P37" i="6"/>
  <c r="AE44" i="6"/>
  <c r="AG32" i="6"/>
  <c r="AG34" i="6" s="1"/>
  <c r="AA44" i="6"/>
  <c r="AG19" i="6"/>
  <c r="AG20" i="6" s="1"/>
  <c r="R23" i="6"/>
  <c r="AL23" i="6"/>
  <c r="AB20" i="6"/>
  <c r="AG26" i="6"/>
  <c r="AG28" i="6" s="1"/>
  <c r="AG27" i="6"/>
  <c r="U33" i="6"/>
  <c r="P19" i="6"/>
  <c r="P20" i="6" s="1"/>
  <c r="P21" i="6" s="1"/>
  <c r="AJ19" i="6"/>
  <c r="V38" i="6" s="1"/>
  <c r="U35" i="6"/>
  <c r="U23" i="6"/>
  <c r="AE20" i="6"/>
  <c r="U34" i="6"/>
  <c r="R27" i="5"/>
  <c r="P33" i="5"/>
  <c r="R26" i="5"/>
  <c r="R28" i="5" s="1"/>
  <c r="P38" i="5"/>
  <c r="V32" i="5"/>
  <c r="P32" i="5"/>
  <c r="AL26" i="5"/>
  <c r="AL28" i="5" s="1"/>
  <c r="AL27" i="5"/>
  <c r="AJ42" i="5"/>
  <c r="AH33" i="5" s="1"/>
  <c r="AE33" i="5"/>
  <c r="Z23" i="5"/>
  <c r="U36" i="5"/>
  <c r="V37" i="5"/>
  <c r="U39" i="5"/>
  <c r="V19" i="5"/>
  <c r="Q20" i="5"/>
  <c r="Q21" i="5" s="1"/>
  <c r="AK20" i="5"/>
  <c r="W19" i="5"/>
  <c r="W20" i="5" s="1"/>
  <c r="R20" i="5"/>
  <c r="R21" i="5" s="1"/>
  <c r="AL20" i="5"/>
  <c r="U20" i="5"/>
  <c r="W27" i="5"/>
  <c r="W26" i="5"/>
  <c r="W28" i="5" s="1"/>
  <c r="AA19" i="5"/>
  <c r="AF23" i="5"/>
  <c r="V20" i="5"/>
  <c r="Z19" i="5"/>
  <c r="Z20" i="5" s="1"/>
  <c r="AB19" i="5"/>
  <c r="AB20" i="5" s="1"/>
  <c r="AG23" i="5"/>
  <c r="AJ41" i="5"/>
  <c r="AH32" i="5" s="1"/>
  <c r="P35" i="5"/>
  <c r="U32" i="5"/>
  <c r="P31" i="5"/>
  <c r="AB26" i="5"/>
  <c r="AB28" i="5" s="1"/>
  <c r="AC44" i="5"/>
  <c r="AE32" i="5"/>
  <c r="AE34" i="5" s="1"/>
  <c r="Y44" i="5"/>
  <c r="AB27" i="5"/>
  <c r="U37" i="5"/>
  <c r="AD44" i="5"/>
  <c r="AF32" i="5"/>
  <c r="AF34" i="5" s="1"/>
  <c r="Z44" i="5"/>
  <c r="P36" i="5"/>
  <c r="AF19" i="5"/>
  <c r="AF20" i="5" s="1"/>
  <c r="Q23" i="5"/>
  <c r="AK23" i="5"/>
  <c r="AA20" i="5"/>
  <c r="V36" i="5"/>
  <c r="AJ23" i="5"/>
  <c r="P37" i="5"/>
  <c r="AE44" i="5"/>
  <c r="AG32" i="5"/>
  <c r="AG34" i="5" s="1"/>
  <c r="AA44" i="5"/>
  <c r="AG19" i="5"/>
  <c r="AG20" i="5" s="1"/>
  <c r="R23" i="5"/>
  <c r="AL23" i="5"/>
  <c r="P23" i="5"/>
  <c r="AG26" i="5"/>
  <c r="AG28" i="5" s="1"/>
  <c r="AG27" i="5"/>
  <c r="U33" i="5"/>
  <c r="P19" i="5"/>
  <c r="P20" i="5" s="1"/>
  <c r="P21" i="5" s="1"/>
  <c r="AJ19" i="5"/>
  <c r="V38" i="5" s="1"/>
  <c r="U35" i="5"/>
  <c r="U23" i="5"/>
  <c r="AE20" i="5"/>
  <c r="U34" i="5"/>
  <c r="V37" i="2"/>
  <c r="W19" i="2"/>
  <c r="R20" i="2"/>
  <c r="R21" i="2" s="1"/>
  <c r="AL20" i="2"/>
  <c r="V32" i="2"/>
  <c r="P32" i="2"/>
  <c r="AL26" i="2"/>
  <c r="AL28" i="2" s="1"/>
  <c r="AL27" i="2"/>
  <c r="AJ42" i="2"/>
  <c r="AH33" i="2" s="1"/>
  <c r="AE33" i="2"/>
  <c r="V19" i="2"/>
  <c r="Q20" i="2"/>
  <c r="Q21" i="2" s="1"/>
  <c r="U20" i="2"/>
  <c r="Z23" i="2"/>
  <c r="U36" i="2"/>
  <c r="U39" i="2"/>
  <c r="V20" i="2"/>
  <c r="R27" i="2"/>
  <c r="P33" i="2"/>
  <c r="R26" i="2"/>
  <c r="R28" i="2" s="1"/>
  <c r="P38" i="2"/>
  <c r="W27" i="2"/>
  <c r="W26" i="2"/>
  <c r="W28" i="2" s="1"/>
  <c r="Z19" i="2"/>
  <c r="AB19" i="2"/>
  <c r="AG23" i="2"/>
  <c r="W20" i="2"/>
  <c r="AF23" i="2"/>
  <c r="AJ41" i="2"/>
  <c r="AH32" i="2" s="1"/>
  <c r="P35" i="2"/>
  <c r="U32" i="2"/>
  <c r="P31" i="2"/>
  <c r="AB26" i="2"/>
  <c r="AB28" i="2" s="1"/>
  <c r="AC44" i="2"/>
  <c r="AE32" i="2"/>
  <c r="AE34" i="2" s="1"/>
  <c r="Y44" i="2"/>
  <c r="AB27" i="2"/>
  <c r="P23" i="2"/>
  <c r="V36" i="2"/>
  <c r="AJ23" i="2"/>
  <c r="AD44" i="2"/>
  <c r="AF32" i="2"/>
  <c r="AF34" i="2" s="1"/>
  <c r="Z44" i="2"/>
  <c r="P36" i="2"/>
  <c r="AF19" i="2"/>
  <c r="AF20" i="2" s="1"/>
  <c r="Q23" i="2"/>
  <c r="AK23" i="2"/>
  <c r="AA19" i="2"/>
  <c r="AA20" i="2" s="1"/>
  <c r="U37" i="2"/>
  <c r="Z20" i="2"/>
  <c r="P37" i="2"/>
  <c r="AE44" i="2"/>
  <c r="AG32" i="2"/>
  <c r="AG34" i="2" s="1"/>
  <c r="AA44" i="2"/>
  <c r="AG19" i="2"/>
  <c r="AG20" i="2" s="1"/>
  <c r="R23" i="2"/>
  <c r="AL23" i="2"/>
  <c r="AB20" i="2"/>
  <c r="AK20" i="2"/>
  <c r="AE19" i="2"/>
  <c r="AG26" i="2"/>
  <c r="AG28" i="2" s="1"/>
  <c r="AG27" i="2"/>
  <c r="U33" i="2"/>
  <c r="P19" i="2"/>
  <c r="P20" i="2" s="1"/>
  <c r="P21" i="2" s="1"/>
  <c r="AJ19" i="2"/>
  <c r="V38" i="2" s="1"/>
  <c r="U35" i="2"/>
  <c r="U23" i="2"/>
  <c r="AE20" i="2"/>
  <c r="U34" i="2"/>
  <c r="U41" i="4" l="1"/>
  <c r="AA40" i="4"/>
  <c r="AA32" i="4"/>
  <c r="Z40" i="4"/>
  <c r="Z32" i="4"/>
  <c r="Y40" i="4"/>
  <c r="AJ51" i="4" s="1" a="1"/>
  <c r="AJ51" i="4" s="1"/>
  <c r="AJ49" i="4" a="1"/>
  <c r="AJ49" i="4" s="1"/>
  <c r="Y32" i="4"/>
  <c r="U21" i="7"/>
  <c r="U24" i="7"/>
  <c r="AL21" i="7"/>
  <c r="V41" i="7" s="1"/>
  <c r="AL24" i="7"/>
  <c r="V24" i="7"/>
  <c r="V21" i="7"/>
  <c r="AE24" i="7"/>
  <c r="AE21" i="7"/>
  <c r="AG21" i="7"/>
  <c r="AG24" i="7"/>
  <c r="AK21" i="7"/>
  <c r="AK24" i="7"/>
  <c r="AA24" i="7"/>
  <c r="AA21" i="7"/>
  <c r="W24" i="7"/>
  <c r="W21" i="7"/>
  <c r="AB24" i="7"/>
  <c r="AB21" i="7"/>
  <c r="AH34" i="7"/>
  <c r="AJ21" i="7"/>
  <c r="AJ24" i="7"/>
  <c r="AE34" i="7"/>
  <c r="U40" i="7"/>
  <c r="P39" i="7"/>
  <c r="Z24" i="7"/>
  <c r="Z21" i="7"/>
  <c r="AF21" i="7"/>
  <c r="AF24" i="7"/>
  <c r="V24" i="6"/>
  <c r="V21" i="6"/>
  <c r="AG21" i="6"/>
  <c r="AG24" i="6"/>
  <c r="AJ20" i="6"/>
  <c r="V40" i="6"/>
  <c r="U21" i="6"/>
  <c r="U24" i="6"/>
  <c r="AE24" i="6"/>
  <c r="AE21" i="6"/>
  <c r="P39" i="6"/>
  <c r="Z24" i="6"/>
  <c r="Z21" i="6"/>
  <c r="W24" i="6"/>
  <c r="W21" i="6"/>
  <c r="U40" i="6"/>
  <c r="AH34" i="6"/>
  <c r="AA24" i="6"/>
  <c r="AA21" i="6"/>
  <c r="AL21" i="6"/>
  <c r="AL24" i="6"/>
  <c r="AB24" i="6"/>
  <c r="AB21" i="6"/>
  <c r="AK21" i="6"/>
  <c r="AK24" i="6"/>
  <c r="AF21" i="6"/>
  <c r="AF24" i="6"/>
  <c r="AF21" i="5"/>
  <c r="AF24" i="5"/>
  <c r="W24" i="5"/>
  <c r="W21" i="5"/>
  <c r="AB24" i="5"/>
  <c r="AB21" i="5"/>
  <c r="P39" i="5"/>
  <c r="Z24" i="5"/>
  <c r="Z21" i="5"/>
  <c r="AG21" i="5"/>
  <c r="AG24" i="5"/>
  <c r="U21" i="5"/>
  <c r="U24" i="5"/>
  <c r="AA24" i="5"/>
  <c r="AA21" i="5"/>
  <c r="U38" i="5"/>
  <c r="V24" i="5"/>
  <c r="V21" i="5"/>
  <c r="AE24" i="5"/>
  <c r="AE21" i="5"/>
  <c r="AK21" i="5"/>
  <c r="AK24" i="5"/>
  <c r="AJ20" i="5"/>
  <c r="V40" i="5"/>
  <c r="AL21" i="5"/>
  <c r="V41" i="5" s="1"/>
  <c r="AL24" i="5"/>
  <c r="U40" i="5"/>
  <c r="AG21" i="2"/>
  <c r="AG24" i="2"/>
  <c r="AA24" i="2"/>
  <c r="AA21" i="2"/>
  <c r="AF21" i="2"/>
  <c r="AF24" i="2"/>
  <c r="U38" i="2"/>
  <c r="U21" i="2"/>
  <c r="U24" i="2"/>
  <c r="AL21" i="2"/>
  <c r="AL24" i="2"/>
  <c r="AK21" i="2"/>
  <c r="AK24" i="2"/>
  <c r="V24" i="2"/>
  <c r="V21" i="2"/>
  <c r="AB24" i="2"/>
  <c r="AB21" i="2"/>
  <c r="V40" i="2"/>
  <c r="P39" i="2"/>
  <c r="Z24" i="2"/>
  <c r="Z21" i="2"/>
  <c r="AE24" i="2"/>
  <c r="AE21" i="2"/>
  <c r="W24" i="2"/>
  <c r="W21" i="2"/>
  <c r="AJ20" i="2"/>
  <c r="AJ56" i="4" l="1"/>
  <c r="AJ57" i="4" s="1"/>
  <c r="AJ54" i="4"/>
  <c r="AJ53" i="4"/>
  <c r="Y36" i="4"/>
  <c r="W34" i="4"/>
  <c r="AJ37" i="4"/>
  <c r="AJ38" i="4" s="1"/>
  <c r="W35" i="4"/>
  <c r="AJ43" i="4"/>
  <c r="AJ46" i="4" s="1"/>
  <c r="W37" i="4"/>
  <c r="AJ39" i="4"/>
  <c r="AJ40" i="4" s="1"/>
  <c r="W32" i="4"/>
  <c r="W33" i="4"/>
  <c r="W38" i="4"/>
  <c r="AJ44" i="4"/>
  <c r="AJ47" i="4" s="1"/>
  <c r="Z36" i="4"/>
  <c r="W39" i="4" s="1"/>
  <c r="AJ50" i="4" a="1"/>
  <c r="AJ50" i="4" s="1"/>
  <c r="AJ45" i="4"/>
  <c r="AJ48" i="4" s="1"/>
  <c r="AA36" i="4"/>
  <c r="W40" i="4" s="1"/>
  <c r="AA40" i="7"/>
  <c r="AA32" i="7"/>
  <c r="U41" i="7"/>
  <c r="Y40" i="7"/>
  <c r="AJ51" i="7" s="1" a="1"/>
  <c r="AJ51" i="7" s="1"/>
  <c r="Y32" i="7"/>
  <c r="Z40" i="7"/>
  <c r="Z32" i="7"/>
  <c r="AJ21" i="6"/>
  <c r="AJ24" i="6"/>
  <c r="Z40" i="6"/>
  <c r="Z32" i="6"/>
  <c r="AA40" i="6"/>
  <c r="AA32" i="6"/>
  <c r="Y40" i="6"/>
  <c r="AJ51" i="6" s="1" a="1"/>
  <c r="AJ51" i="6" s="1"/>
  <c r="AJ49" i="6" a="1"/>
  <c r="AJ49" i="6" s="1"/>
  <c r="Y32" i="6"/>
  <c r="U41" i="6"/>
  <c r="AA40" i="5"/>
  <c r="AA32" i="5"/>
  <c r="Z40" i="5"/>
  <c r="Z32" i="5"/>
  <c r="U41" i="5"/>
  <c r="AJ21" i="5"/>
  <c r="Y40" i="5" s="1"/>
  <c r="AJ24" i="5"/>
  <c r="AH34" i="5"/>
  <c r="AA40" i="2"/>
  <c r="AA32" i="2"/>
  <c r="Z40" i="2"/>
  <c r="Z32" i="2"/>
  <c r="AJ21" i="2"/>
  <c r="AJ24" i="2"/>
  <c r="Y40" i="2"/>
  <c r="AJ51" i="2" s="1" a="1"/>
  <c r="AJ51" i="2" s="1"/>
  <c r="Y32" i="2"/>
  <c r="U41" i="2"/>
  <c r="W36" i="4" l="1"/>
  <c r="W41" i="4"/>
  <c r="AJ44" i="7"/>
  <c r="AJ47" i="7" s="1"/>
  <c r="Z36" i="7"/>
  <c r="AJ56" i="7"/>
  <c r="AJ57" i="7" s="1"/>
  <c r="AJ54" i="7"/>
  <c r="AJ53" i="7"/>
  <c r="Y36" i="7"/>
  <c r="AJ37" i="7"/>
  <c r="AJ38" i="7" s="1"/>
  <c r="AJ43" i="7"/>
  <c r="AJ46" i="7" s="1"/>
  <c r="AJ39" i="7"/>
  <c r="AJ40" i="7" s="1"/>
  <c r="W37" i="7"/>
  <c r="W36" i="7"/>
  <c r="W39" i="7"/>
  <c r="W32" i="7"/>
  <c r="W33" i="7"/>
  <c r="AJ49" i="7" a="1"/>
  <c r="AJ49" i="7" s="1"/>
  <c r="AJ50" i="7" a="1"/>
  <c r="AJ50" i="7" s="1"/>
  <c r="AJ45" i="7"/>
  <c r="AJ48" i="7" s="1"/>
  <c r="AA36" i="7"/>
  <c r="W35" i="7" s="1"/>
  <c r="AJ45" i="6"/>
  <c r="AJ48" i="6" s="1"/>
  <c r="AA36" i="6"/>
  <c r="AJ50" i="6" a="1"/>
  <c r="AJ50" i="6" s="1"/>
  <c r="AJ56" i="6"/>
  <c r="AJ57" i="6" s="1"/>
  <c r="AJ54" i="6"/>
  <c r="AJ53" i="6"/>
  <c r="Y36" i="6"/>
  <c r="AJ37" i="6"/>
  <c r="AJ38" i="6" s="1"/>
  <c r="AJ43" i="6"/>
  <c r="AJ46" i="6" s="1"/>
  <c r="AJ39" i="6"/>
  <c r="AJ40" i="6" s="1"/>
  <c r="W34" i="6"/>
  <c r="W36" i="6"/>
  <c r="W35" i="6"/>
  <c r="W39" i="6"/>
  <c r="W38" i="6"/>
  <c r="W40" i="6"/>
  <c r="AJ44" i="6"/>
  <c r="AJ47" i="6" s="1"/>
  <c r="Z36" i="6"/>
  <c r="W32" i="6" s="1"/>
  <c r="AJ50" i="5" a="1"/>
  <c r="AJ50" i="5" s="1"/>
  <c r="AJ51" i="5" a="1"/>
  <c r="AJ51" i="5" s="1"/>
  <c r="AJ44" i="5"/>
  <c r="AJ47" i="5" s="1"/>
  <c r="Z36" i="5"/>
  <c r="AJ45" i="5"/>
  <c r="AJ48" i="5" s="1"/>
  <c r="AA36" i="5"/>
  <c r="Y32" i="5"/>
  <c r="AJ49" i="5" a="1"/>
  <c r="AJ49" i="5" s="1"/>
  <c r="AJ56" i="2"/>
  <c r="AJ54" i="2"/>
  <c r="AJ53" i="2"/>
  <c r="Y36" i="2"/>
  <c r="AJ37" i="2"/>
  <c r="AJ38" i="2" s="1"/>
  <c r="AJ43" i="2"/>
  <c r="AJ46" i="2" s="1"/>
  <c r="AJ39" i="2"/>
  <c r="AJ40" i="2" s="1"/>
  <c r="W41" i="2"/>
  <c r="W37" i="2"/>
  <c r="W33" i="2"/>
  <c r="W34" i="2"/>
  <c r="W32" i="2"/>
  <c r="W36" i="2"/>
  <c r="W35" i="2"/>
  <c r="W39" i="2"/>
  <c r="W40" i="2"/>
  <c r="W38" i="2"/>
  <c r="V41" i="2"/>
  <c r="AJ57" i="2"/>
  <c r="AH34" i="2"/>
  <c r="AJ44" i="2"/>
  <c r="AJ47" i="2" s="1"/>
  <c r="Z36" i="2"/>
  <c r="AJ50" i="2" a="1"/>
  <c r="AJ50" i="2" s="1"/>
  <c r="AJ49" i="2" a="1"/>
  <c r="AJ49" i="2" s="1"/>
  <c r="AJ45" i="2"/>
  <c r="AJ48" i="2" s="1"/>
  <c r="AA36" i="2"/>
  <c r="W38" i="7" l="1"/>
  <c r="W40" i="7"/>
  <c r="W41" i="7"/>
  <c r="W34" i="7"/>
  <c r="W37" i="6"/>
  <c r="W41" i="6"/>
  <c r="W33" i="6"/>
  <c r="AJ56" i="5"/>
  <c r="AJ57" i="5" s="1"/>
  <c r="AJ54" i="5"/>
  <c r="AJ53" i="5"/>
  <c r="Y36" i="5"/>
  <c r="AJ37" i="5"/>
  <c r="AJ38" i="5" s="1"/>
  <c r="AJ43" i="5"/>
  <c r="AJ46" i="5" s="1"/>
  <c r="AJ39" i="5"/>
  <c r="AJ40" i="5" s="1"/>
  <c r="W33" i="5"/>
  <c r="W36" i="5"/>
  <c r="W41" i="5"/>
  <c r="W37" i="5"/>
  <c r="W34" i="5"/>
  <c r="W39" i="5"/>
  <c r="W35" i="5"/>
  <c r="W32" i="5"/>
  <c r="W38" i="5"/>
  <c r="W40" i="5"/>
  <c r="AI3" i="2" l="1"/>
  <c r="M301" i="7"/>
  <c r="M300" i="7"/>
  <c r="M299" i="7"/>
  <c r="M298" i="7"/>
  <c r="M297" i="7"/>
  <c r="M296" i="7"/>
  <c r="M295" i="7"/>
  <c r="M294" i="7"/>
  <c r="M293" i="7"/>
  <c r="M292" i="7"/>
  <c r="M291" i="7"/>
  <c r="M290" i="7"/>
  <c r="M289" i="7"/>
  <c r="M288" i="7"/>
  <c r="M287" i="7"/>
  <c r="M286" i="7"/>
  <c r="M285" i="7"/>
  <c r="M284" i="7"/>
  <c r="M283" i="7"/>
  <c r="M282" i="7"/>
  <c r="M281" i="7"/>
  <c r="M280" i="7"/>
  <c r="M279" i="7"/>
  <c r="M278" i="7"/>
  <c r="M277" i="7"/>
  <c r="M276" i="7"/>
  <c r="M275" i="7"/>
  <c r="M274" i="7"/>
  <c r="M273" i="7"/>
  <c r="M272" i="7"/>
  <c r="M271" i="7"/>
  <c r="M270" i="7"/>
  <c r="M269" i="7"/>
  <c r="M268" i="7"/>
  <c r="M267" i="7"/>
  <c r="M266" i="7"/>
  <c r="M265" i="7"/>
  <c r="M264" i="7"/>
  <c r="M263" i="7"/>
  <c r="M262" i="7"/>
  <c r="M261" i="7"/>
  <c r="M260" i="7"/>
  <c r="M259" i="7"/>
  <c r="M258" i="7"/>
  <c r="M257" i="7"/>
  <c r="M256" i="7"/>
  <c r="M255" i="7"/>
  <c r="M254" i="7"/>
  <c r="M253" i="7"/>
  <c r="M252" i="7"/>
  <c r="M251" i="7"/>
  <c r="M250" i="7"/>
  <c r="M249" i="7"/>
  <c r="M248" i="7"/>
  <c r="M247" i="7"/>
  <c r="M246" i="7"/>
  <c r="M245" i="7"/>
  <c r="M244" i="7"/>
  <c r="M243" i="7"/>
  <c r="M242" i="7"/>
  <c r="M241" i="7"/>
  <c r="M240" i="7"/>
  <c r="M239" i="7"/>
  <c r="M238" i="7"/>
  <c r="M237" i="7"/>
  <c r="M236" i="7"/>
  <c r="M235" i="7"/>
  <c r="M234" i="7"/>
  <c r="M233" i="7"/>
  <c r="M232" i="7"/>
  <c r="M231" i="7"/>
  <c r="M230" i="7"/>
  <c r="M229" i="7"/>
  <c r="M228" i="7"/>
  <c r="M227" i="7"/>
  <c r="M226" i="7"/>
  <c r="M225" i="7"/>
  <c r="M224" i="7"/>
  <c r="M223" i="7"/>
  <c r="M222" i="7"/>
  <c r="M221" i="7"/>
  <c r="M220" i="7"/>
  <c r="M219" i="7"/>
  <c r="M218" i="7"/>
  <c r="M217" i="7"/>
  <c r="M216" i="7"/>
  <c r="M215" i="7"/>
  <c r="M214" i="7"/>
  <c r="M213" i="7"/>
  <c r="M212" i="7"/>
  <c r="M211" i="7"/>
  <c r="M210" i="7"/>
  <c r="M209" i="7"/>
  <c r="M208" i="7"/>
  <c r="M207" i="7"/>
  <c r="M206" i="7"/>
  <c r="M205" i="7"/>
  <c r="M204" i="7"/>
  <c r="M203" i="7"/>
  <c r="M202" i="7"/>
  <c r="M201" i="7"/>
  <c r="M200" i="7"/>
  <c r="M199" i="7"/>
  <c r="M198" i="7"/>
  <c r="M197" i="7"/>
  <c r="M196" i="7"/>
  <c r="M195" i="7"/>
  <c r="M194" i="7"/>
  <c r="M193" i="7"/>
  <c r="M192" i="7"/>
  <c r="M191" i="7"/>
  <c r="M190" i="7"/>
  <c r="M189" i="7"/>
  <c r="M188" i="7"/>
  <c r="M187" i="7"/>
  <c r="M186" i="7"/>
  <c r="M185" i="7"/>
  <c r="M184" i="7"/>
  <c r="M183" i="7"/>
  <c r="M182" i="7"/>
  <c r="M181" i="7"/>
  <c r="M180" i="7"/>
  <c r="M179" i="7"/>
  <c r="M178" i="7"/>
  <c r="M177" i="7"/>
  <c r="M176" i="7"/>
  <c r="M175" i="7"/>
  <c r="M174" i="7"/>
  <c r="M173" i="7"/>
  <c r="M172" i="7"/>
  <c r="M171" i="7"/>
  <c r="M170" i="7"/>
  <c r="M169" i="7"/>
  <c r="M168" i="7"/>
  <c r="M167" i="7"/>
  <c r="M166" i="7"/>
  <c r="M165" i="7"/>
  <c r="M164" i="7"/>
  <c r="M163" i="7"/>
  <c r="M162" i="7"/>
  <c r="M161" i="7"/>
  <c r="M160" i="7"/>
  <c r="M159" i="7"/>
  <c r="M158" i="7"/>
  <c r="M157" i="7"/>
  <c r="M156" i="7"/>
  <c r="M155" i="7"/>
  <c r="M154" i="7"/>
  <c r="M153" i="7"/>
  <c r="M152" i="7"/>
  <c r="M151" i="7"/>
  <c r="M150" i="7"/>
  <c r="M149" i="7"/>
  <c r="M148" i="7"/>
  <c r="M147" i="7"/>
  <c r="M146" i="7"/>
  <c r="M145" i="7"/>
  <c r="M144" i="7"/>
  <c r="M143" i="7"/>
  <c r="M142" i="7"/>
  <c r="M141" i="7"/>
  <c r="M140" i="7"/>
  <c r="M139" i="7"/>
  <c r="M138" i="7"/>
  <c r="M137" i="7"/>
  <c r="M136" i="7"/>
  <c r="M135" i="7"/>
  <c r="M134" i="7"/>
  <c r="M133" i="7"/>
  <c r="M132" i="7"/>
  <c r="M131" i="7"/>
  <c r="M130" i="7"/>
  <c r="M129" i="7"/>
  <c r="M128" i="7"/>
  <c r="M127" i="7"/>
  <c r="M126" i="7"/>
  <c r="M125" i="7"/>
  <c r="M124" i="7"/>
  <c r="M123" i="7"/>
  <c r="M122" i="7"/>
  <c r="M121" i="7"/>
  <c r="M120" i="7"/>
  <c r="M119" i="7"/>
  <c r="M118" i="7"/>
  <c r="M117" i="7"/>
  <c r="M116" i="7"/>
  <c r="M115" i="7"/>
  <c r="M114" i="7"/>
  <c r="M113" i="7"/>
  <c r="M112" i="7"/>
  <c r="M111" i="7"/>
  <c r="M110" i="7"/>
  <c r="M109" i="7"/>
  <c r="M108" i="7"/>
  <c r="M107" i="7"/>
  <c r="M106" i="7"/>
  <c r="M105" i="7"/>
  <c r="M104" i="7"/>
  <c r="M103" i="7"/>
  <c r="M102" i="7"/>
  <c r="M101" i="7"/>
  <c r="M100" i="7"/>
  <c r="M99" i="7"/>
  <c r="M98" i="7"/>
  <c r="M97" i="7"/>
  <c r="M96" i="7"/>
  <c r="M95" i="7"/>
  <c r="M94" i="7"/>
  <c r="M93" i="7"/>
  <c r="M92" i="7"/>
  <c r="M91" i="7"/>
  <c r="M90" i="7"/>
  <c r="M89" i="7"/>
  <c r="M88" i="7"/>
  <c r="M87" i="7"/>
  <c r="M86" i="7"/>
  <c r="M85" i="7"/>
  <c r="M84" i="7"/>
  <c r="M83" i="7"/>
  <c r="M82" i="7"/>
  <c r="M81" i="7"/>
  <c r="M80" i="7"/>
  <c r="M79" i="7"/>
  <c r="M78" i="7"/>
  <c r="M77" i="7"/>
  <c r="M76" i="7"/>
  <c r="M75" i="7"/>
  <c r="M74" i="7"/>
  <c r="M73" i="7"/>
  <c r="M72" i="7"/>
  <c r="M71" i="7"/>
  <c r="M70" i="7"/>
  <c r="M69" i="7"/>
  <c r="M68" i="7"/>
  <c r="M67" i="7"/>
  <c r="M66" i="7"/>
  <c r="M65" i="7"/>
  <c r="M64" i="7"/>
  <c r="M63" i="7"/>
  <c r="M62" i="7"/>
  <c r="M61" i="7"/>
  <c r="M60" i="7"/>
  <c r="M59" i="7"/>
  <c r="M58" i="7"/>
  <c r="M57" i="7"/>
  <c r="M56" i="7"/>
  <c r="M55" i="7"/>
  <c r="M54" i="7"/>
  <c r="M53" i="7"/>
  <c r="M52" i="7"/>
  <c r="M51" i="7"/>
  <c r="M50" i="7"/>
  <c r="M49" i="7"/>
  <c r="M48" i="7"/>
  <c r="M47" i="7"/>
  <c r="M46" i="7"/>
  <c r="M45" i="7"/>
  <c r="M44" i="7"/>
  <c r="M43" i="7"/>
  <c r="M42" i="7"/>
  <c r="M41" i="7"/>
  <c r="M40" i="7"/>
  <c r="M39" i="7"/>
  <c r="M38" i="7"/>
  <c r="M37" i="7"/>
  <c r="M36" i="7"/>
  <c r="M35" i="7"/>
  <c r="M34" i="7"/>
  <c r="M33" i="7"/>
  <c r="M32" i="7"/>
  <c r="M31" i="7"/>
  <c r="M30" i="7"/>
  <c r="M29" i="7"/>
  <c r="M28" i="7"/>
  <c r="M27" i="7"/>
  <c r="M26" i="7"/>
  <c r="M25" i="7"/>
  <c r="M24" i="7"/>
  <c r="M23" i="7"/>
  <c r="M22" i="7"/>
  <c r="M21" i="7"/>
  <c r="M20" i="7"/>
  <c r="M19" i="7"/>
  <c r="M18" i="7"/>
  <c r="M17" i="7"/>
  <c r="M16" i="7"/>
  <c r="M15" i="7"/>
  <c r="M14" i="7"/>
  <c r="M13" i="7"/>
  <c r="M12" i="7"/>
  <c r="M11" i="7"/>
  <c r="M10" i="7"/>
  <c r="M9" i="7"/>
  <c r="M8" i="7"/>
  <c r="M7" i="7"/>
  <c r="P6" i="7"/>
  <c r="M6" i="7"/>
  <c r="M5" i="7"/>
  <c r="M4" i="7"/>
  <c r="AI3" i="7"/>
  <c r="AD3" i="7"/>
  <c r="Y3" i="7"/>
  <c r="T3" i="7"/>
  <c r="M3" i="7"/>
  <c r="M2" i="7"/>
  <c r="M301" i="6"/>
  <c r="M300" i="6"/>
  <c r="M299" i="6"/>
  <c r="M298" i="6"/>
  <c r="M297" i="6"/>
  <c r="M296" i="6"/>
  <c r="M295" i="6"/>
  <c r="M294" i="6"/>
  <c r="M293" i="6"/>
  <c r="M292" i="6"/>
  <c r="M291" i="6"/>
  <c r="M290" i="6"/>
  <c r="M289" i="6"/>
  <c r="M288" i="6"/>
  <c r="M287" i="6"/>
  <c r="M286" i="6"/>
  <c r="M285" i="6"/>
  <c r="M284" i="6"/>
  <c r="M283" i="6"/>
  <c r="M282" i="6"/>
  <c r="M281" i="6"/>
  <c r="M280" i="6"/>
  <c r="M279" i="6"/>
  <c r="M278" i="6"/>
  <c r="M277" i="6"/>
  <c r="M276" i="6"/>
  <c r="M275" i="6"/>
  <c r="M274" i="6"/>
  <c r="M273" i="6"/>
  <c r="M272" i="6"/>
  <c r="M271" i="6"/>
  <c r="M270" i="6"/>
  <c r="M269" i="6"/>
  <c r="M268" i="6"/>
  <c r="M267" i="6"/>
  <c r="M266" i="6"/>
  <c r="M265" i="6"/>
  <c r="M264" i="6"/>
  <c r="M263" i="6"/>
  <c r="M262" i="6"/>
  <c r="M261" i="6"/>
  <c r="M260" i="6"/>
  <c r="M259" i="6"/>
  <c r="M258" i="6"/>
  <c r="M257" i="6"/>
  <c r="M256" i="6"/>
  <c r="M255" i="6"/>
  <c r="M254" i="6"/>
  <c r="M253" i="6"/>
  <c r="M252" i="6"/>
  <c r="M251" i="6"/>
  <c r="M250" i="6"/>
  <c r="M249" i="6"/>
  <c r="M248" i="6"/>
  <c r="M247" i="6"/>
  <c r="M246" i="6"/>
  <c r="M245" i="6"/>
  <c r="M244" i="6"/>
  <c r="M243" i="6"/>
  <c r="M242" i="6"/>
  <c r="M241" i="6"/>
  <c r="M240" i="6"/>
  <c r="M239" i="6"/>
  <c r="M238" i="6"/>
  <c r="M237" i="6"/>
  <c r="M236" i="6"/>
  <c r="M235" i="6"/>
  <c r="M234" i="6"/>
  <c r="M233" i="6"/>
  <c r="M232" i="6"/>
  <c r="M231" i="6"/>
  <c r="M230" i="6"/>
  <c r="M229" i="6"/>
  <c r="M228" i="6"/>
  <c r="M227" i="6"/>
  <c r="M226" i="6"/>
  <c r="M225" i="6"/>
  <c r="M224" i="6"/>
  <c r="M223" i="6"/>
  <c r="M222" i="6"/>
  <c r="M221" i="6"/>
  <c r="M220" i="6"/>
  <c r="M219" i="6"/>
  <c r="M218" i="6"/>
  <c r="M217" i="6"/>
  <c r="M216" i="6"/>
  <c r="M215" i="6"/>
  <c r="M214" i="6"/>
  <c r="M213" i="6"/>
  <c r="M212" i="6"/>
  <c r="M211" i="6"/>
  <c r="M210" i="6"/>
  <c r="M209" i="6"/>
  <c r="M208" i="6"/>
  <c r="M207" i="6"/>
  <c r="M206" i="6"/>
  <c r="M205" i="6"/>
  <c r="M204" i="6"/>
  <c r="M203" i="6"/>
  <c r="M202" i="6"/>
  <c r="M201" i="6"/>
  <c r="M200" i="6"/>
  <c r="M199" i="6"/>
  <c r="M198" i="6"/>
  <c r="M197" i="6"/>
  <c r="M196" i="6"/>
  <c r="M195" i="6"/>
  <c r="M194" i="6"/>
  <c r="M193" i="6"/>
  <c r="M192" i="6"/>
  <c r="M191" i="6"/>
  <c r="M190" i="6"/>
  <c r="M189" i="6"/>
  <c r="M188" i="6"/>
  <c r="M187" i="6"/>
  <c r="M186" i="6"/>
  <c r="M185" i="6"/>
  <c r="M184" i="6"/>
  <c r="M183" i="6"/>
  <c r="M182" i="6"/>
  <c r="M181" i="6"/>
  <c r="M180" i="6"/>
  <c r="M179" i="6"/>
  <c r="M178" i="6"/>
  <c r="M177" i="6"/>
  <c r="M176" i="6"/>
  <c r="M175" i="6"/>
  <c r="M174" i="6"/>
  <c r="M173" i="6"/>
  <c r="M172" i="6"/>
  <c r="M171" i="6"/>
  <c r="M170" i="6"/>
  <c r="M169" i="6"/>
  <c r="M168" i="6"/>
  <c r="M167" i="6"/>
  <c r="M166" i="6"/>
  <c r="M165" i="6"/>
  <c r="M164" i="6"/>
  <c r="M163" i="6"/>
  <c r="M162" i="6"/>
  <c r="M161" i="6"/>
  <c r="M160" i="6"/>
  <c r="M159" i="6"/>
  <c r="M158" i="6"/>
  <c r="M157" i="6"/>
  <c r="M156" i="6"/>
  <c r="M155" i="6"/>
  <c r="M154" i="6"/>
  <c r="M153" i="6"/>
  <c r="M152" i="6"/>
  <c r="M151" i="6"/>
  <c r="M150" i="6"/>
  <c r="M149" i="6"/>
  <c r="M148" i="6"/>
  <c r="M147" i="6"/>
  <c r="M146" i="6"/>
  <c r="M145" i="6"/>
  <c r="M144" i="6"/>
  <c r="M143" i="6"/>
  <c r="M142" i="6"/>
  <c r="M141" i="6"/>
  <c r="M140" i="6"/>
  <c r="M139" i="6"/>
  <c r="M138" i="6"/>
  <c r="M137" i="6"/>
  <c r="M136" i="6"/>
  <c r="M135" i="6"/>
  <c r="M134" i="6"/>
  <c r="M133" i="6"/>
  <c r="M132" i="6"/>
  <c r="M131" i="6"/>
  <c r="M130" i="6"/>
  <c r="M129" i="6"/>
  <c r="M128" i="6"/>
  <c r="M127" i="6"/>
  <c r="M126" i="6"/>
  <c r="M125" i="6"/>
  <c r="M124" i="6"/>
  <c r="M123" i="6"/>
  <c r="M122" i="6"/>
  <c r="M121" i="6"/>
  <c r="M120" i="6"/>
  <c r="M119" i="6"/>
  <c r="M118" i="6"/>
  <c r="M117" i="6"/>
  <c r="M116" i="6"/>
  <c r="M115" i="6"/>
  <c r="M114" i="6"/>
  <c r="M113" i="6"/>
  <c r="M112" i="6"/>
  <c r="M111" i="6"/>
  <c r="M110" i="6"/>
  <c r="M109" i="6"/>
  <c r="M108" i="6"/>
  <c r="M107" i="6"/>
  <c r="M106" i="6"/>
  <c r="M105" i="6"/>
  <c r="M104" i="6"/>
  <c r="M103" i="6"/>
  <c r="M102" i="6"/>
  <c r="M101" i="6"/>
  <c r="M100" i="6"/>
  <c r="M99" i="6"/>
  <c r="M98" i="6"/>
  <c r="M97" i="6"/>
  <c r="M96" i="6"/>
  <c r="M95" i="6"/>
  <c r="M94" i="6"/>
  <c r="M93" i="6"/>
  <c r="M92" i="6"/>
  <c r="M91" i="6"/>
  <c r="M90" i="6"/>
  <c r="M89" i="6"/>
  <c r="M88" i="6"/>
  <c r="M87" i="6"/>
  <c r="M86" i="6"/>
  <c r="M85" i="6"/>
  <c r="M84" i="6"/>
  <c r="M83" i="6"/>
  <c r="M82" i="6"/>
  <c r="M81" i="6"/>
  <c r="M80" i="6"/>
  <c r="M79" i="6"/>
  <c r="M78" i="6"/>
  <c r="M77" i="6"/>
  <c r="M76" i="6"/>
  <c r="M75" i="6"/>
  <c r="M74" i="6"/>
  <c r="M73" i="6"/>
  <c r="M72" i="6"/>
  <c r="M71" i="6"/>
  <c r="M70" i="6"/>
  <c r="M69" i="6"/>
  <c r="M68" i="6"/>
  <c r="M67" i="6"/>
  <c r="M66" i="6"/>
  <c r="M65" i="6"/>
  <c r="M64" i="6"/>
  <c r="M63" i="6"/>
  <c r="M62" i="6"/>
  <c r="M61" i="6"/>
  <c r="M60" i="6"/>
  <c r="M59" i="6"/>
  <c r="M58" i="6"/>
  <c r="M57" i="6"/>
  <c r="M56" i="6"/>
  <c r="M55" i="6"/>
  <c r="M54" i="6"/>
  <c r="M53" i="6"/>
  <c r="M52" i="6"/>
  <c r="M51" i="6"/>
  <c r="M50" i="6"/>
  <c r="M49" i="6"/>
  <c r="M48" i="6"/>
  <c r="M47" i="6"/>
  <c r="M46" i="6"/>
  <c r="M45" i="6"/>
  <c r="M44" i="6"/>
  <c r="M43" i="6"/>
  <c r="M42" i="6"/>
  <c r="M41" i="6"/>
  <c r="M40" i="6"/>
  <c r="M39" i="6"/>
  <c r="M38" i="6"/>
  <c r="M37" i="6"/>
  <c r="M36" i="6"/>
  <c r="M35" i="6"/>
  <c r="M34" i="6"/>
  <c r="M33" i="6"/>
  <c r="M32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M8" i="6"/>
  <c r="M7" i="6"/>
  <c r="P6" i="6"/>
  <c r="M6" i="6"/>
  <c r="M5" i="6"/>
  <c r="M4" i="6"/>
  <c r="AI3" i="6"/>
  <c r="AD3" i="6"/>
  <c r="Y3" i="6"/>
  <c r="T3" i="6"/>
  <c r="M3" i="6"/>
  <c r="M2" i="6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P6" i="5"/>
  <c r="M6" i="5"/>
  <c r="M5" i="5"/>
  <c r="M4" i="5"/>
  <c r="AI3" i="5"/>
  <c r="AD3" i="5"/>
  <c r="Y3" i="5"/>
  <c r="T3" i="5"/>
  <c r="M3" i="5"/>
  <c r="M2" i="5"/>
  <c r="T3" i="4"/>
  <c r="P6" i="4"/>
  <c r="U6" i="4" s="1"/>
  <c r="P6" i="2"/>
  <c r="U6" i="2" s="1"/>
  <c r="AD3" i="2"/>
  <c r="Y3" i="2"/>
  <c r="T3" i="2"/>
  <c r="AI3" i="4"/>
  <c r="AD3" i="4"/>
  <c r="Y3" i="4"/>
  <c r="M301" i="4"/>
  <c r="M300" i="4"/>
  <c r="M299" i="4"/>
  <c r="M298" i="4"/>
  <c r="M297" i="4"/>
  <c r="M296" i="4"/>
  <c r="M295" i="4"/>
  <c r="M294" i="4"/>
  <c r="M293" i="4"/>
  <c r="M292" i="4"/>
  <c r="M291" i="4"/>
  <c r="M290" i="4"/>
  <c r="M289" i="4"/>
  <c r="M288" i="4"/>
  <c r="M287" i="4"/>
  <c r="M286" i="4"/>
  <c r="M285" i="4"/>
  <c r="M284" i="4"/>
  <c r="M283" i="4"/>
  <c r="M282" i="4"/>
  <c r="M281" i="4"/>
  <c r="M280" i="4"/>
  <c r="M279" i="4"/>
  <c r="M278" i="4"/>
  <c r="M277" i="4"/>
  <c r="M276" i="4"/>
  <c r="M275" i="4"/>
  <c r="M274" i="4"/>
  <c r="M273" i="4"/>
  <c r="M272" i="4"/>
  <c r="M271" i="4"/>
  <c r="M270" i="4"/>
  <c r="M269" i="4"/>
  <c r="M268" i="4"/>
  <c r="M267" i="4"/>
  <c r="M266" i="4"/>
  <c r="M265" i="4"/>
  <c r="M264" i="4"/>
  <c r="M263" i="4"/>
  <c r="M262" i="4"/>
  <c r="M261" i="4"/>
  <c r="M260" i="4"/>
  <c r="M259" i="4"/>
  <c r="M258" i="4"/>
  <c r="M257" i="4"/>
  <c r="M256" i="4"/>
  <c r="M255" i="4"/>
  <c r="M254" i="4"/>
  <c r="M253" i="4"/>
  <c r="M252" i="4"/>
  <c r="M251" i="4"/>
  <c r="M250" i="4"/>
  <c r="M249" i="4"/>
  <c r="M248" i="4"/>
  <c r="M247" i="4"/>
  <c r="M246" i="4"/>
  <c r="M245" i="4"/>
  <c r="M244" i="4"/>
  <c r="M243" i="4"/>
  <c r="M242" i="4"/>
  <c r="M241" i="4"/>
  <c r="M240" i="4"/>
  <c r="M239" i="4"/>
  <c r="M238" i="4"/>
  <c r="M237" i="4"/>
  <c r="M236" i="4"/>
  <c r="M235" i="4"/>
  <c r="M234" i="4"/>
  <c r="M233" i="4"/>
  <c r="M232" i="4"/>
  <c r="M231" i="4"/>
  <c r="M230" i="4"/>
  <c r="M229" i="4"/>
  <c r="M228" i="4"/>
  <c r="M227" i="4"/>
  <c r="M226" i="4"/>
  <c r="M225" i="4"/>
  <c r="M224" i="4"/>
  <c r="M223" i="4"/>
  <c r="M222" i="4"/>
  <c r="M221" i="4"/>
  <c r="M220" i="4"/>
  <c r="M219" i="4"/>
  <c r="M218" i="4"/>
  <c r="M217" i="4"/>
  <c r="M216" i="4"/>
  <c r="M215" i="4"/>
  <c r="M214" i="4"/>
  <c r="M213" i="4"/>
  <c r="M212" i="4"/>
  <c r="M211" i="4"/>
  <c r="M210" i="4"/>
  <c r="M209" i="4"/>
  <c r="M208" i="4"/>
  <c r="M207" i="4"/>
  <c r="M206" i="4"/>
  <c r="M205" i="4"/>
  <c r="M204" i="4"/>
  <c r="M203" i="4"/>
  <c r="M202" i="4"/>
  <c r="M201" i="4"/>
  <c r="M200" i="4"/>
  <c r="M199" i="4"/>
  <c r="M198" i="4"/>
  <c r="M197" i="4"/>
  <c r="M196" i="4"/>
  <c r="M195" i="4"/>
  <c r="M194" i="4"/>
  <c r="M193" i="4"/>
  <c r="M192" i="4"/>
  <c r="M191" i="4"/>
  <c r="M190" i="4"/>
  <c r="M189" i="4"/>
  <c r="M188" i="4"/>
  <c r="M187" i="4"/>
  <c r="M186" i="4"/>
  <c r="M185" i="4"/>
  <c r="M184" i="4"/>
  <c r="M183" i="4"/>
  <c r="M182" i="4"/>
  <c r="M181" i="4"/>
  <c r="M180" i="4"/>
  <c r="M179" i="4"/>
  <c r="M178" i="4"/>
  <c r="M177" i="4"/>
  <c r="M176" i="4"/>
  <c r="M175" i="4"/>
  <c r="M174" i="4"/>
  <c r="M173" i="4"/>
  <c r="M172" i="4"/>
  <c r="M171" i="4"/>
  <c r="M170" i="4"/>
  <c r="M169" i="4"/>
  <c r="M168" i="4"/>
  <c r="M167" i="4"/>
  <c r="M166" i="4"/>
  <c r="M165" i="4"/>
  <c r="M164" i="4"/>
  <c r="M163" i="4"/>
  <c r="M162" i="4"/>
  <c r="M161" i="4"/>
  <c r="M160" i="4"/>
  <c r="M159" i="4"/>
  <c r="M158" i="4"/>
  <c r="M157" i="4"/>
  <c r="M156" i="4"/>
  <c r="M155" i="4"/>
  <c r="M154" i="4"/>
  <c r="M153" i="4"/>
  <c r="M152" i="4"/>
  <c r="M151" i="4"/>
  <c r="M150" i="4"/>
  <c r="M149" i="4"/>
  <c r="M148" i="4"/>
  <c r="M147" i="4"/>
  <c r="M146" i="4"/>
  <c r="M145" i="4"/>
  <c r="M144" i="4"/>
  <c r="M143" i="4"/>
  <c r="M142" i="4"/>
  <c r="M141" i="4"/>
  <c r="M140" i="4"/>
  <c r="M139" i="4"/>
  <c r="M138" i="4"/>
  <c r="M137" i="4"/>
  <c r="M136" i="4"/>
  <c r="M135" i="4"/>
  <c r="M134" i="4"/>
  <c r="M133" i="4"/>
  <c r="M132" i="4"/>
  <c r="M131" i="4"/>
  <c r="M130" i="4"/>
  <c r="M129" i="4"/>
  <c r="M128" i="4"/>
  <c r="M127" i="4"/>
  <c r="M126" i="4"/>
  <c r="M125" i="4"/>
  <c r="M124" i="4"/>
  <c r="M123" i="4"/>
  <c r="M122" i="4"/>
  <c r="M121" i="4"/>
  <c r="M120" i="4"/>
  <c r="M119" i="4"/>
  <c r="M118" i="4"/>
  <c r="M117" i="4"/>
  <c r="M116" i="4"/>
  <c r="M115" i="4"/>
  <c r="M114" i="4"/>
  <c r="M113" i="4"/>
  <c r="M112" i="4"/>
  <c r="M111" i="4"/>
  <c r="M110" i="4"/>
  <c r="M109" i="4"/>
  <c r="M108" i="4"/>
  <c r="M107" i="4"/>
  <c r="M106" i="4"/>
  <c r="M105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M3" i="4"/>
  <c r="M2" i="4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2" i="2"/>
  <c r="Z6" i="2" l="1"/>
  <c r="U6" i="7"/>
  <c r="U6" i="6"/>
  <c r="U6" i="5"/>
  <c r="Z6" i="4"/>
  <c r="AE6" i="2" l="1"/>
  <c r="Z6" i="7"/>
  <c r="Z6" i="6"/>
  <c r="Z6" i="5"/>
  <c r="AE6" i="4"/>
  <c r="AE6" i="5" l="1"/>
  <c r="AJ6" i="2"/>
  <c r="AE6" i="7"/>
  <c r="AE6" i="6"/>
  <c r="AJ6" i="5"/>
  <c r="AJ6" i="4"/>
  <c r="AJ6" i="7" l="1"/>
  <c r="AJ6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<sst xmlns="http://schemas.openxmlformats.org/spreadsheetml/2006/main" count="10125" uniqueCount="711">
  <si>
    <t>model</t>
  </si>
  <si>
    <t>test_run</t>
  </si>
  <si>
    <t>prompt_format</t>
  </si>
  <si>
    <t>time_start</t>
  </si>
  <si>
    <t>time_first_token</t>
  </si>
  <si>
    <t>ttr_seconds</t>
  </si>
  <si>
    <t>status</t>
  </si>
  <si>
    <t>completion_tokens</t>
  </si>
  <si>
    <t>prompt_tokens</t>
  </si>
  <si>
    <t>total_tokens</t>
  </si>
  <si>
    <t>notes</t>
  </si>
  <si>
    <t>output</t>
  </si>
  <si>
    <t>claude-3-haiku@20240307</t>
  </si>
  <si>
    <t>symbolic</t>
  </si>
  <si>
    <t>2026-03-05T08:24:01.970-05:00</t>
  </si>
  <si>
    <t>2026-03-05T08:24:03.234-05:00</t>
  </si>
  <si>
    <t>success</t>
  </si>
  <si>
    <t>HELLO</t>
  </si>
  <si>
    <t>2026-03-05T08:24:04.393-05:00</t>
  </si>
  <si>
    <t>2026-03-05T08:24:05.454-05:00</t>
  </si>
  <si>
    <t>2026-03-05T08:24:06.585-05:00</t>
  </si>
  <si>
    <t>2026-03-05T08:24:07.635-05:00</t>
  </si>
  <si>
    <t>2026-03-05T08:24:08.747-05:00</t>
  </si>
  <si>
    <t>2026-03-05T08:24:09.754-05:00</t>
  </si>
  <si>
    <t>2026-03-05T08:24:10.877-05:00</t>
  </si>
  <si>
    <t>2026-03-05T08:24:11.908-05:00</t>
  </si>
  <si>
    <t>2026-03-05T08:24:13.011-05:00</t>
  </si>
  <si>
    <t>2026-03-05T08:24:14.023-05:00</t>
  </si>
  <si>
    <t>2026-03-05T08:24:15.153-05:00</t>
  </si>
  <si>
    <t>2026-03-05T08:24:16.203-05:00</t>
  </si>
  <si>
    <t>2026-03-05T08:24:17.322-05:00</t>
  </si>
  <si>
    <t>2026-03-05T08:24:18.320-05:00</t>
  </si>
  <si>
    <t>2026-03-05T08:24:19.484-05:00</t>
  </si>
  <si>
    <t>2026-03-05T08:24:20.524-05:00</t>
  </si>
  <si>
    <t>2026-03-05T08:24:21.619-05:00</t>
  </si>
  <si>
    <t>2026-03-05T08:24:22.673-05:00</t>
  </si>
  <si>
    <t>dsl_json</t>
  </si>
  <si>
    <t>2026-03-05T08:43:39.071-05:00</t>
  </si>
  <si>
    <t>2026-03-05T08:43:40.395-05:00</t>
  </si>
  <si>
    <t>2026-03-05T08:43:41.594-05:00</t>
  </si>
  <si>
    <t>2026-03-05T08:43:42.716-05:00</t>
  </si>
  <si>
    <t>2026-03-05T08:43:43.839-05:00</t>
  </si>
  <si>
    <t>2026-03-05T08:43:44.938-05:00</t>
  </si>
  <si>
    <t>2026-03-05T08:43:46.097-05:00</t>
  </si>
  <si>
    <t>2026-03-05T08:43:47.222-05:00</t>
  </si>
  <si>
    <t>2026-03-05T08:43:48.348-05:00</t>
  </si>
  <si>
    <t>2026-03-05T08:43:49.441-05:00</t>
  </si>
  <si>
    <t>2026-03-05T08:43:50.547-05:00</t>
  </si>
  <si>
    <t>2026-03-05T08:43:51.816-05:00</t>
  </si>
  <si>
    <t>2026-03-05T08:43:52.937-05:00</t>
  </si>
  <si>
    <t>2026-03-05T08:43:53.999-05:00</t>
  </si>
  <si>
    <t>2026-03-05T08:43:55.095-05:00</t>
  </si>
  <si>
    <t>2026-03-05T08:43:56.160-05:00</t>
  </si>
  <si>
    <t>2026-03-05T08:43:57.263-05:00</t>
  </si>
  <si>
    <t>2026-03-05T08:43:58.324-05:00</t>
  </si>
  <si>
    <t>2026-03-05T08:43:59.454-05:00</t>
  </si>
  <si>
    <t>2026-03-05T08:44:00.708-05:00</t>
  </si>
  <si>
    <t>normal</t>
  </si>
  <si>
    <t>2026-03-05T08:44:22.516-05:00</t>
  </si>
  <si>
    <t>2026-03-05T08:44:23.637-05:00</t>
  </si>
  <si>
    <t>2026-03-05T08:44:24.816-05:00</t>
  </si>
  <si>
    <t>2026-03-05T08:44:25.947-05:00</t>
  </si>
  <si>
    <t>2026-03-05T08:44:27.050-05:00</t>
  </si>
  <si>
    <t>2026-03-05T08:44:28.087-05:00</t>
  </si>
  <si>
    <t>2026-03-05T08:44:29.181-05:00</t>
  </si>
  <si>
    <t>2026-03-05T08:44:30.701-05:00</t>
  </si>
  <si>
    <t>2026-03-05T08:44:31.817-05:00</t>
  </si>
  <si>
    <t>2026-03-05T08:44:32.898-05:00</t>
  </si>
  <si>
    <t>2026-03-05T08:44:34.018-05:00</t>
  </si>
  <si>
    <t>2026-03-05T08:44:35.066-05:00</t>
  </si>
  <si>
    <t>2026-03-05T08:44:36.170-05:00</t>
  </si>
  <si>
    <t>2026-03-05T08:44:37.290-05:00</t>
  </si>
  <si>
    <t>2026-03-05T08:44:38.443-05:00</t>
  </si>
  <si>
    <t>2026-03-05T08:44:39.516-05:00</t>
  </si>
  <si>
    <t>2026-03-05T08:44:40.625-05:00</t>
  </si>
  <si>
    <t>2026-03-05T08:44:41.668-05:00</t>
  </si>
  <si>
    <t>2026-03-05T08:44:42.785-05:00</t>
  </si>
  <si>
    <t>2026-03-05T08:44:43.822-05:00</t>
  </si>
  <si>
    <t>deepseek-v3@0324</t>
  </si>
  <si>
    <t>2026-03-05T08:45:54.645-05:00</t>
  </si>
  <si>
    <t>2026-03-05T08:45:56.144-05:00</t>
  </si>
  <si>
    <t>2026-03-05T08:45:57.240-05:00</t>
  </si>
  <si>
    <t>2026-03-05T08:45:58.667-05:00</t>
  </si>
  <si>
    <t>2026-03-05T08:45:59.777-05:00</t>
  </si>
  <si>
    <t>2026-03-05T08:46:01.288-05:00</t>
  </si>
  <si>
    <t>2026-03-05T08:46:02.375-05:00</t>
  </si>
  <si>
    <t>2026-03-05T08:46:03.489-05:00</t>
  </si>
  <si>
    <t>2026-03-05T08:46:04.584-05:00</t>
  </si>
  <si>
    <t>2026-03-05T08:46:06.000-05:00</t>
  </si>
  <si>
    <t>2026-03-05T08:46:07.113-05:00</t>
  </si>
  <si>
    <t>2026-03-05T08:46:08.557-05:00</t>
  </si>
  <si>
    <t>2026-03-05T08:46:09.656-05:00</t>
  </si>
  <si>
    <t>2026-03-05T08:46:11.171-05:00</t>
  </si>
  <si>
    <t>2026-03-05T08:46:12.264-05:00</t>
  </si>
  <si>
    <t>2026-03-05T08:46:13.460-05:00</t>
  </si>
  <si>
    <t>2026-03-05T08:46:14.543-05:00</t>
  </si>
  <si>
    <t>2026-03-05T08:46:15.992-05:00</t>
  </si>
  <si>
    <t>2026-03-05T08:46:17.078-05:00</t>
  </si>
  <si>
    <t>2026-03-05T08:46:18.178-05:00</t>
  </si>
  <si>
    <t>2026-03-05T08:46:49.546-05:00</t>
  </si>
  <si>
    <t>2026-03-05T08:46:51.240-05:00</t>
  </si>
  <si>
    <t>2026-03-05T08:46:52.353-05:00</t>
  </si>
  <si>
    <t>2026-03-05T08:46:53.786-05:00</t>
  </si>
  <si>
    <t>2026-03-05T08:46:54.882-05:00</t>
  </si>
  <si>
    <t>2026-03-05T08:46:56.237-05:00</t>
  </si>
  <si>
    <t>2026-03-05T08:46:57.354-05:00</t>
  </si>
  <si>
    <t>2026-03-05T08:46:58.560-05:00</t>
  </si>
  <si>
    <t>2026-03-05T08:46:59.739-05:00</t>
  </si>
  <si>
    <t>2026-03-05T08:47:01.210-05:00</t>
  </si>
  <si>
    <t>2026-03-05T08:47:02.350-05:00</t>
  </si>
  <si>
    <t>2026-03-05T08:47:03.460-05:00</t>
  </si>
  <si>
    <t>2026-03-05T08:47:04.589-05:00</t>
  </si>
  <si>
    <t>2026-03-05T08:47:05.681-05:00</t>
  </si>
  <si>
    <t>2026-03-05T08:47:06.796-05:00</t>
  </si>
  <si>
    <t>2026-03-05T08:47:07.941-05:00</t>
  </si>
  <si>
    <t>2026-03-05T08:47:09.049-05:00</t>
  </si>
  <si>
    <t>2026-03-05T08:47:10.532-05:00</t>
  </si>
  <si>
    <t>2026-03-05T08:47:11.631-05:00</t>
  </si>
  <si>
    <t>2026-03-05T08:47:13.115-05:00</t>
  </si>
  <si>
    <t>2026-03-05T08:47:37.249-05:00</t>
  </si>
  <si>
    <t>2026-03-05T08:47:38.756-05:00</t>
  </si>
  <si>
    <t>2026-03-05T08:47:39.879-05:00</t>
  </si>
  <si>
    <t>2026-03-05T08:47:41.381-05:00</t>
  </si>
  <si>
    <t>2026-03-05T08:47:42.491-05:00</t>
  </si>
  <si>
    <t>2026-03-05T08:47:43.875-05:00</t>
  </si>
  <si>
    <t>2026-03-05T08:47:44.978-05:00</t>
  </si>
  <si>
    <t>2026-03-05T08:47:46.455-05:00</t>
  </si>
  <si>
    <t>2026-03-05T08:47:47.541-05:00</t>
  </si>
  <si>
    <t>2026-03-05T08:47:49.051-05:00</t>
  </si>
  <si>
    <t>2026-03-05T08:47:50.143-05:00</t>
  </si>
  <si>
    <t>2026-03-05T08:47:51.347-05:00</t>
  </si>
  <si>
    <t>2026-03-05T08:47:52.433-05:00</t>
  </si>
  <si>
    <t>2026-03-05T08:47:53.984-05:00</t>
  </si>
  <si>
    <t>2026-03-05T08:47:55.070-05:00</t>
  </si>
  <si>
    <t>2026-03-05T08:47:56.416-05:00</t>
  </si>
  <si>
    <t>2026-03-05T08:47:57.512-05:00</t>
  </si>
  <si>
    <t>2026-03-05T08:47:59.027-05:00</t>
  </si>
  <si>
    <t>2026-03-05T08:48:00.176-05:00</t>
  </si>
  <si>
    <t>2026-03-05T08:48:01.415-05:00</t>
  </si>
  <si>
    <t>gemini-2.0-flash@001</t>
  </si>
  <si>
    <t>2026-03-05T08:49:34.891-05:00</t>
  </si>
  <si>
    <t>2026-03-05T08:49:36.263-05:00</t>
  </si>
  <si>
    <t>2026-03-05T08:49:37.424-05:00</t>
  </si>
  <si>
    <t>2026-03-05T08:49:38.700-05:00</t>
  </si>
  <si>
    <t>2026-03-05T08:49:39.834-05:00</t>
  </si>
  <si>
    <t>2026-03-05T08:49:41.044-05:00</t>
  </si>
  <si>
    <t>2026-03-05T08:49:42.159-05:00</t>
  </si>
  <si>
    <t>2026-03-05T08:49:43.296-05:00</t>
  </si>
  <si>
    <t>2026-03-05T08:49:44.418-05:00</t>
  </si>
  <si>
    <t>2026-03-05T08:49:45.668-05:00</t>
  </si>
  <si>
    <t>2026-03-05T08:49:46.790-05:00</t>
  </si>
  <si>
    <t>2026-03-05T08:49:47.922-05:00</t>
  </si>
  <si>
    <t>2026-03-05T08:49:49.032-05:00</t>
  </si>
  <si>
    <t>2026-03-05T08:49:50.284-05:00</t>
  </si>
  <si>
    <t>2026-03-05T08:49:51.376-05:00</t>
  </si>
  <si>
    <t>2026-03-05T08:49:52.601-05:00</t>
  </si>
  <si>
    <t>2026-03-05T08:49:53.698-05:00</t>
  </si>
  <si>
    <t>2026-03-05T08:49:55.041-05:00</t>
  </si>
  <si>
    <t>2026-03-05T08:49:56.166-05:00</t>
  </si>
  <si>
    <t>2026-03-05T08:49:57.239-05:00</t>
  </si>
  <si>
    <t>2026-03-05T08:50:13.312-05:00</t>
  </si>
  <si>
    <t>2026-03-05T08:50:14.564-05:00</t>
  </si>
  <si>
    <t>2026-03-05T08:50:15.908-05:00</t>
  </si>
  <si>
    <t>2026-03-05T08:50:17.472-05:00</t>
  </si>
  <si>
    <t>2026-03-05T08:50:19.184-05:00</t>
  </si>
  <si>
    <t>2026-03-05T08:50:20.495-05:00</t>
  </si>
  <si>
    <t>2026-03-05T08:50:21.978-05:00</t>
  </si>
  <si>
    <t>2026-03-05T08:50:23.173-05:00</t>
  </si>
  <si>
    <t>2026-03-05T08:50:24.640-05:00</t>
  </si>
  <si>
    <t>2026-03-05T08:50:25.819-05:00</t>
  </si>
  <si>
    <t>2026-03-05T08:50:27.288-05:00</t>
  </si>
  <si>
    <t>2026-03-05T08:50:28.564-05:00</t>
  </si>
  <si>
    <t>2026-03-05T08:50:30.064-05:00</t>
  </si>
  <si>
    <t>2026-03-05T08:50:31.462-05:00</t>
  </si>
  <si>
    <t>2026-03-05T08:50:33.029-05:00</t>
  </si>
  <si>
    <t>2026-03-05T08:50:34.217-05:00</t>
  </si>
  <si>
    <t>2026-03-05T08:50:35.728-05:00</t>
  </si>
  <si>
    <t>2026-03-05T08:50:36.818-05:00</t>
  </si>
  <si>
    <t>2026-03-05T08:50:38.342-05:00</t>
  </si>
  <si>
    <t>2026-03-05T08:50:39.630-05:00</t>
  </si>
  <si>
    <t>2026-03-05T08:51:11.966-05:00</t>
  </si>
  <si>
    <t>2026-03-05T08:51:13.142-05:00</t>
  </si>
  <si>
    <t>2026-03-05T08:51:14.553-05:00</t>
  </si>
  <si>
    <t>2026-03-05T08:51:15.720-05:00</t>
  </si>
  <si>
    <t>2026-03-05T08:51:17.122-05:00</t>
  </si>
  <si>
    <t>2026-03-05T08:51:18.330-05:00</t>
  </si>
  <si>
    <t>2026-03-05T08:51:19.726-05:00</t>
  </si>
  <si>
    <t>2026-03-05T08:51:20.841-05:00</t>
  </si>
  <si>
    <t>2026-03-05T08:51:22.097-05:00</t>
  </si>
  <si>
    <t>2026-03-05T08:51:23.248-05:00</t>
  </si>
  <si>
    <t>2026-03-05T08:51:24.615-05:00</t>
  </si>
  <si>
    <t>2026-03-05T08:51:25.689-05:00</t>
  </si>
  <si>
    <t>2026-03-05T08:51:26.796-05:00</t>
  </si>
  <si>
    <t>2026-03-05T08:51:27.797-05:00</t>
  </si>
  <si>
    <t>2026-03-05T08:51:28.948-05:00</t>
  </si>
  <si>
    <t>2026-03-05T08:51:30.087-05:00</t>
  </si>
  <si>
    <t>2026-03-05T08:51:31.288-05:00</t>
  </si>
  <si>
    <t>2026-03-05T08:51:32.488-05:00</t>
  </si>
  <si>
    <t>2026-03-05T08:51:33.943-05:00</t>
  </si>
  <si>
    <t>2026-03-05T08:51:35.187-05:00</t>
  </si>
  <si>
    <t>gpt-4o-mini@2024-07-18</t>
  </si>
  <si>
    <t>2026-03-05T08:52:06.844-05:00</t>
  </si>
  <si>
    <t>2026-03-05T08:52:08.153-05:00</t>
  </si>
  <si>
    <t>2026-03-05T08:52:09.523-05:00</t>
  </si>
  <si>
    <t>2026-03-05T08:52:11.206-05:00</t>
  </si>
  <si>
    <t>2026-03-05T08:52:12.574-05:00</t>
  </si>
  <si>
    <t>2026-03-05T08:52:13.859-05:00</t>
  </si>
  <si>
    <t>2026-03-05T08:52:15.023-05:00</t>
  </si>
  <si>
    <t>2026-03-05T08:52:16.787-05:00</t>
  </si>
  <si>
    <t>2026-03-05T08:52:17.988-05:00</t>
  </si>
  <si>
    <t>2026-03-05T08:52:19.573-05:00</t>
  </si>
  <si>
    <t>2026-03-05T08:52:20.776-05:00</t>
  </si>
  <si>
    <t>2026-03-05T08:52:22.063-05:00</t>
  </si>
  <si>
    <t>2026-03-05T08:52:23.267-05:00</t>
  </si>
  <si>
    <t>2026-03-05T08:52:24.937-05:00</t>
  </si>
  <si>
    <t>2026-03-05T08:52:26.055-05:00</t>
  </si>
  <si>
    <t>2026-03-05T08:52:27.357-05:00</t>
  </si>
  <si>
    <t>2026-03-05T08:52:28.439-05:00</t>
  </si>
  <si>
    <t>2026-03-05T08:52:29.685-05:00</t>
  </si>
  <si>
    <t>2026-03-05T08:52:30.794-05:00</t>
  </si>
  <si>
    <t>2026-03-05T08:52:32.153-05:00</t>
  </si>
  <si>
    <t>2026-03-05T08:52:47.568-05:00</t>
  </si>
  <si>
    <t>2026-03-05T08:52:48.985-05:00</t>
  </si>
  <si>
    <t>2026-03-05T08:52:50.323-05:00</t>
  </si>
  <si>
    <t>2026-03-05T08:52:51.667-05:00</t>
  </si>
  <si>
    <t>2026-03-05T08:52:53.021-05:00</t>
  </si>
  <si>
    <t>2026-03-05T08:52:54.289-05:00</t>
  </si>
  <si>
    <t>2026-03-05T08:52:55.503-05:00</t>
  </si>
  <si>
    <t>2026-03-05T08:52:57.438-05:00</t>
  </si>
  <si>
    <t>2026-03-05T08:52:58.526-05:00</t>
  </si>
  <si>
    <t>2026-03-05T08:52:59.850-05:00</t>
  </si>
  <si>
    <t>2026-03-05T08:53:01.018-05:00</t>
  </si>
  <si>
    <t>2026-03-05T08:53:02.224-05:00</t>
  </si>
  <si>
    <t>2026-03-05T08:53:03.324-05:00</t>
  </si>
  <si>
    <t>2026-03-05T08:53:04.810-05:00</t>
  </si>
  <si>
    <t>2026-03-05T08:53:06.002-05:00</t>
  </si>
  <si>
    <t>2026-03-05T08:53:08.298-05:00</t>
  </si>
  <si>
    <t>2026-03-05T08:53:09.560-05:00</t>
  </si>
  <si>
    <t>2026-03-05T08:53:10.869-05:00</t>
  </si>
  <si>
    <t>2026-03-05T08:53:11.987-05:00</t>
  </si>
  <si>
    <t>2026-03-05T08:53:13.331-05:00</t>
  </si>
  <si>
    <t>2026-03-05T08:53:36.914-05:00</t>
  </si>
  <si>
    <t>2026-03-05T08:53:38.161-05:00</t>
  </si>
  <si>
    <t>2026-03-05T08:53:39.419-05:00</t>
  </si>
  <si>
    <t>2026-03-05T08:53:41.408-05:00</t>
  </si>
  <si>
    <t>2026-03-05T08:53:42.552-05:00</t>
  </si>
  <si>
    <t>2026-03-05T08:53:43.666-05:00</t>
  </si>
  <si>
    <t>2026-03-05T08:53:44.853-05:00</t>
  </si>
  <si>
    <t>2026-03-05T08:53:46.245-05:00</t>
  </si>
  <si>
    <t>2026-03-05T08:53:47.632-05:00</t>
  </si>
  <si>
    <t>2026-03-05T08:53:49.077-05:00</t>
  </si>
  <si>
    <t>2026-03-05T08:53:50.343-05:00</t>
  </si>
  <si>
    <t>2026-03-05T08:53:51.533-05:00</t>
  </si>
  <si>
    <t>2026-03-05T08:53:52.621-05:00</t>
  </si>
  <si>
    <t>2026-03-05T08:53:54.115-05:00</t>
  </si>
  <si>
    <t>2026-03-05T08:53:55.322-05:00</t>
  </si>
  <si>
    <t>2026-03-05T08:53:56.920-05:00</t>
  </si>
  <si>
    <t>2026-03-05T08:53:58.153-05:00</t>
  </si>
  <si>
    <t>2026-03-05T08:53:59.435-05:00</t>
  </si>
  <si>
    <t>2026-03-05T08:54:00.713-05:00</t>
  </si>
  <si>
    <t>2026-03-05T08:54:02.740-05:00</t>
  </si>
  <si>
    <t>llama-3.3-70b-instruct</t>
  </si>
  <si>
    <t>2026-03-05T08:54:27.336-05:00</t>
  </si>
  <si>
    <t>2026-03-05T08:54:29.367-05:00</t>
  </si>
  <si>
    <t>2026-03-05T08:54:30.786-05:00</t>
  </si>
  <si>
    <t>2026-03-05T08:54:32.524-05:00</t>
  </si>
  <si>
    <t>2026-03-05T08:54:33.861-05:00</t>
  </si>
  <si>
    <t>2026-03-05T08:54:35.594-05:00</t>
  </si>
  <si>
    <t>2026-03-05T08:54:36.895-05:00</t>
  </si>
  <si>
    <t>2026-03-05T08:54:38.978-05:00</t>
  </si>
  <si>
    <t>2026-03-05T08:54:40.063-05:00</t>
  </si>
  <si>
    <t>2026-03-05T08:54:41.795-05:00</t>
  </si>
  <si>
    <t>2026-03-05T08:54:42.923-05:00</t>
  </si>
  <si>
    <t>2026-03-05T08:54:44.691-05:00</t>
  </si>
  <si>
    <t>2026-03-05T08:54:45.868-05:00</t>
  </si>
  <si>
    <t>2026-03-05T08:54:47.811-05:00</t>
  </si>
  <si>
    <t>2026-03-05T08:54:48.938-05:00</t>
  </si>
  <si>
    <t>2026-03-05T08:54:51.622-05:00</t>
  </si>
  <si>
    <t>2026-03-05T08:54:52.825-05:00</t>
  </si>
  <si>
    <t>2026-03-05T08:54:54.667-05:00</t>
  </si>
  <si>
    <t>2026-03-05T08:54:55.842-05:00</t>
  </si>
  <si>
    <t>2026-03-05T08:54:57.802-05:00</t>
  </si>
  <si>
    <t>2026-03-05T08:55:16.812-05:00</t>
  </si>
  <si>
    <t>2026-03-05T08:55:18.651-05:00</t>
  </si>
  <si>
    <t>2026-03-05T08:55:19.747-05:00</t>
  </si>
  <si>
    <t>2026-03-05T08:55:21.384-05:00</t>
  </si>
  <si>
    <t>2026-03-05T08:55:22.491-05:00</t>
  </si>
  <si>
    <t>2026-03-05T08:55:24.195-05:00</t>
  </si>
  <si>
    <t>2026-03-05T08:55:25.315-05:00</t>
  </si>
  <si>
    <t>2026-03-05T08:55:26.569-05:00</t>
  </si>
  <si>
    <t>2026-03-05T08:55:27.666-05:00</t>
  </si>
  <si>
    <t>2026-03-05T08:55:28.885-05:00</t>
  </si>
  <si>
    <t>2026-03-05T08:55:30.168-05:00</t>
  </si>
  <si>
    <t>2026-03-05T08:55:31.602-05:00</t>
  </si>
  <si>
    <t>2026-03-05T08:55:32.840-05:00</t>
  </si>
  <si>
    <t>2026-03-05T08:55:34.620-05:00</t>
  </si>
  <si>
    <t>2026-03-05T08:55:36.021-05:00</t>
  </si>
  <si>
    <t>2026-03-05T08:55:37.607-05:00</t>
  </si>
  <si>
    <t>2026-03-05T08:55:38.698-05:00</t>
  </si>
  <si>
    <t>2026-03-05T08:55:39.898-05:00</t>
  </si>
  <si>
    <t>2026-03-05T08:55:41.034-05:00</t>
  </si>
  <si>
    <t>2026-03-05T08:55:42.618-05:00</t>
  </si>
  <si>
    <t>2026-03-05T08:55:59.807-05:00</t>
  </si>
  <si>
    <t>2026-03-05T08:56:01.326-05:00</t>
  </si>
  <si>
    <t>2026-03-05T08:56:02.467-05:00</t>
  </si>
  <si>
    <t>2026-03-05T08:56:03.964-05:00</t>
  </si>
  <si>
    <t>2026-03-05T08:56:05.048-05:00</t>
  </si>
  <si>
    <t>2026-03-05T08:56:06.546-05:00</t>
  </si>
  <si>
    <t>2026-03-05T08:56:07.822-05:00</t>
  </si>
  <si>
    <t>2026-03-05T08:56:09.615-05:00</t>
  </si>
  <si>
    <t>2026-03-05T08:56:10.958-05:00</t>
  </si>
  <si>
    <t>2026-03-05T08:56:12.321-05:00</t>
  </si>
  <si>
    <t>2026-03-05T08:56:13.765-05:00</t>
  </si>
  <si>
    <t>2026-03-05T08:56:15.003-05:00</t>
  </si>
  <si>
    <t>2026-03-05T08:56:16.331-05:00</t>
  </si>
  <si>
    <t>2026-03-05T08:56:17.902-05:00</t>
  </si>
  <si>
    <t>2026-03-05T08:56:19.147-05:00</t>
  </si>
  <si>
    <t>2026-03-05T08:56:20.463-05:00</t>
  </si>
  <si>
    <t>2026-03-05T08:56:21.732-05:00</t>
  </si>
  <si>
    <t>2026-03-05T08:56:23.301-05:00</t>
  </si>
  <si>
    <t>2026-03-05T08:56:24.616-05:00</t>
  </si>
  <si>
    <t>2026-03-05T08:56:25.887-05:00</t>
  </si>
  <si>
    <t>2026-03-03T13:05:14.982-05:00</t>
  </si>
  <si>
    <t>2026-03-03T13:05:16.015-05:00</t>
  </si>
  <si>
    <t>2026-03-03T13:05:17.118-05:00</t>
  </si>
  <si>
    <t>2026-03-03T13:05:18.103-05:00</t>
  </si>
  <si>
    <t>2026-03-03T13:05:19.214-05:00</t>
  </si>
  <si>
    <t>2026-03-03T13:05:20.297-05:00</t>
  </si>
  <si>
    <t>2026-03-03T13:05:21.401-05:00</t>
  </si>
  <si>
    <t>2026-03-03T13:05:22.363-05:00</t>
  </si>
  <si>
    <t>2026-03-03T13:05:23.475-05:00</t>
  </si>
  <si>
    <t>2026-03-03T13:05:24.490-05:00</t>
  </si>
  <si>
    <t>2026-03-03T13:05:25.670-05:00</t>
  </si>
  <si>
    <t>2026-03-03T13:05:26.670-05:00</t>
  </si>
  <si>
    <t>2026-03-03T13:05:27.796-05:00</t>
  </si>
  <si>
    <t>2026-03-03T13:05:28.775-05:00</t>
  </si>
  <si>
    <t>2026-03-03T13:05:29.865-05:00</t>
  </si>
  <si>
    <t>2026-03-03T13:05:30.881-05:00</t>
  </si>
  <si>
    <t>2026-03-03T13:05:32.035-05:00</t>
  </si>
  <si>
    <t>2026-03-03T13:05:33.053-05:00</t>
  </si>
  <si>
    <t>2026-03-03T13:05:34.156-05:00</t>
  </si>
  <si>
    <t>2026-03-03T13:05:35.202-05:00</t>
  </si>
  <si>
    <t>2026-03-03T13:05:53.991-05:00</t>
  </si>
  <si>
    <t>2026-03-03T13:05:55.003-05:00</t>
  </si>
  <si>
    <t>2026-03-03T13:05:56.115-05:00</t>
  </si>
  <si>
    <t>2026-03-03T13:05:57.281-05:00</t>
  </si>
  <si>
    <t>2026-03-03T13:05:58.396-05:00</t>
  </si>
  <si>
    <t>2026-03-03T13:05:59.439-05:00</t>
  </si>
  <si>
    <t>2026-03-03T13:06:00.570-05:00</t>
  </si>
  <si>
    <t>2026-03-03T13:06:01.580-05:00</t>
  </si>
  <si>
    <t>2026-03-03T13:06:02.747-05:00</t>
  </si>
  <si>
    <t>2026-03-03T13:06:03.790-05:00</t>
  </si>
  <si>
    <t>2026-03-03T13:06:04.891-05:00</t>
  </si>
  <si>
    <t>2026-03-03T13:06:05.958-05:00</t>
  </si>
  <si>
    <t>2026-03-03T13:06:07.044-05:00</t>
  </si>
  <si>
    <t>2026-03-03T13:06:08.057-05:00</t>
  </si>
  <si>
    <t>2026-03-03T13:06:09.198-05:00</t>
  </si>
  <si>
    <t>2026-03-03T13:06:10.219-05:00</t>
  </si>
  <si>
    <t>2026-03-03T13:06:11.343-05:00</t>
  </si>
  <si>
    <t>2026-03-03T13:06:14.418-05:00</t>
  </si>
  <si>
    <t>2026-03-03T13:06:15.519-05:00</t>
  </si>
  <si>
    <t>2026-03-03T13:06:16.525-05:00</t>
  </si>
  <si>
    <t>2026-03-03T13:06:55.466-05:00</t>
  </si>
  <si>
    <t>2026-03-03T13:06:56.506-05:00</t>
  </si>
  <si>
    <t>2026-03-03T13:06:57.644-05:00</t>
  </si>
  <si>
    <t>2026-03-03T13:06:58.659-05:00</t>
  </si>
  <si>
    <t>2026-03-03T13:06:59.837-05:00</t>
  </si>
  <si>
    <t>2026-03-03T13:07:00.879-05:00</t>
  </si>
  <si>
    <t>2026-03-03T13:07:01.998-05:00</t>
  </si>
  <si>
    <t>2026-03-03T13:07:03.014-05:00</t>
  </si>
  <si>
    <t>2026-03-03T13:07:04.176-05:00</t>
  </si>
  <si>
    <t>2026-03-03T13:07:05.189-05:00</t>
  </si>
  <si>
    <t>2026-03-03T13:07:06.298-05:00</t>
  </si>
  <si>
    <t>2026-03-03T13:07:07.280-05:00</t>
  </si>
  <si>
    <t>2026-03-03T13:07:08.377-05:00</t>
  </si>
  <si>
    <t>2026-03-03T13:07:09.406-05:00</t>
  </si>
  <si>
    <t>2026-03-03T13:07:10.525-05:00</t>
  </si>
  <si>
    <t>2026-03-03T13:07:11.564-05:00</t>
  </si>
  <si>
    <t>2026-03-03T13:07:12.804-05:00</t>
  </si>
  <si>
    <t>2026-03-03T13:07:13.822-05:00</t>
  </si>
  <si>
    <t>2026-03-03T13:07:14.975-05:00</t>
  </si>
  <si>
    <t>2026-03-03T13:07:16.045-05:00</t>
  </si>
  <si>
    <t>Mean</t>
  </si>
  <si>
    <t>Median</t>
  </si>
  <si>
    <t>P90</t>
  </si>
  <si>
    <t>P99</t>
  </si>
  <si>
    <t>IQR</t>
  </si>
  <si>
    <t>IQR Deception Index</t>
  </si>
  <si>
    <t>Range</t>
  </si>
  <si>
    <t>CV</t>
  </si>
  <si>
    <t>ttr_seconds(excel)</t>
  </si>
  <si>
    <t>2026-03-03T13:10:23.894-05:00</t>
  </si>
  <si>
    <t>2026-03-03T13:10:26.116-05:00</t>
  </si>
  <si>
    <t>2026-03-03T13:10:27.214-05:00</t>
  </si>
  <si>
    <t>2026-03-03T13:10:28.682-05:00</t>
  </si>
  <si>
    <t>2026-03-03T13:10:29.832-05:00</t>
  </si>
  <si>
    <t>2026-03-03T13:10:31.030-05:00</t>
  </si>
  <si>
    <t>2026-03-03T13:10:32.139-05:00</t>
  </si>
  <si>
    <t>2026-03-03T13:10:33.730-05:00</t>
  </si>
  <si>
    <t>2026-03-03T13:10:34.855-05:00</t>
  </si>
  <si>
    <t>2026-03-03T13:10:36.311-05:00</t>
  </si>
  <si>
    <t>2026-03-03T13:10:37.427-05:00</t>
  </si>
  <si>
    <t>2026-03-03T13:10:38.968-05:00</t>
  </si>
  <si>
    <t>2026-03-03T13:10:40.190-05:00</t>
  </si>
  <si>
    <t>2026-03-03T13:10:41.757-05:00</t>
  </si>
  <si>
    <t>2026-03-03T13:10:42.850-05:00</t>
  </si>
  <si>
    <t>2026-03-03T13:10:44.681-05:00</t>
  </si>
  <si>
    <t>2026-03-03T13:10:45.821-05:00</t>
  </si>
  <si>
    <t>2026-03-03T13:10:47.058-05:00</t>
  </si>
  <si>
    <t>2026-03-03T13:10:48.289-05:00</t>
  </si>
  <si>
    <t>2026-03-03T13:10:49.727-05:00</t>
  </si>
  <si>
    <t>2026-03-03T13:11:10.961-05:00</t>
  </si>
  <si>
    <t>2026-03-03T13:11:12.574-05:00</t>
  </si>
  <si>
    <t>2026-03-03T13:11:13.703-05:00</t>
  </si>
  <si>
    <t>2026-03-03T13:11:15.100-05:00</t>
  </si>
  <si>
    <t>2026-03-03T13:11:16.184-05:00</t>
  </si>
  <si>
    <t>2026-03-03T13:11:17.900-05:00</t>
  </si>
  <si>
    <t>2026-03-03T13:11:18.998-05:00</t>
  </si>
  <si>
    <t>2026-03-03T13:11:20.630-05:00</t>
  </si>
  <si>
    <t>2026-03-03T13:11:21.757-05:00</t>
  </si>
  <si>
    <t>2026-03-03T13:11:23.237-05:00</t>
  </si>
  <si>
    <t>2026-03-03T13:11:24.343-05:00</t>
  </si>
  <si>
    <t>2026-03-03T13:11:25.906-05:00</t>
  </si>
  <si>
    <t>2026-03-03T13:11:27.027-05:00</t>
  </si>
  <si>
    <t>2026-03-03T13:11:28.361-05:00</t>
  </si>
  <si>
    <t>2026-03-03T13:11:29.472-05:00</t>
  </si>
  <si>
    <t>2026-03-03T13:11:30.800-05:00</t>
  </si>
  <si>
    <t>2026-03-03T13:11:31.887-05:00</t>
  </si>
  <si>
    <t>2026-03-03T13:11:33.125-05:00</t>
  </si>
  <si>
    <t>2026-03-03T13:11:34.222-05:00</t>
  </si>
  <si>
    <t>2026-03-03T13:11:35.481-05:00</t>
  </si>
  <si>
    <t>2026-03-03T13:11:51.049-05:00</t>
  </si>
  <si>
    <t>2026-03-03T13:11:52.904-05:00</t>
  </si>
  <si>
    <t>2026-03-03T13:11:54.026-05:00</t>
  </si>
  <si>
    <t>2026-03-03T13:11:55.726-05:00</t>
  </si>
  <si>
    <t>2026-03-03T13:11:56.829-05:00</t>
  </si>
  <si>
    <t>2026-03-03T13:11:57.948-05:00</t>
  </si>
  <si>
    <t>2026-03-03T13:11:59.037-05:00</t>
  </si>
  <si>
    <t>2026-03-03T13:12:00.304-05:00</t>
  </si>
  <si>
    <t>2026-03-03T13:12:01.420-05:00</t>
  </si>
  <si>
    <t>2026-03-03T13:12:02.881-05:00</t>
  </si>
  <si>
    <t>2026-03-03T13:12:04.015-05:00</t>
  </si>
  <si>
    <t>2026-03-03T13:12:05.377-05:00</t>
  </si>
  <si>
    <t>2026-03-03T13:12:06.506-05:00</t>
  </si>
  <si>
    <t>2026-03-03T13:12:07.805-05:00</t>
  </si>
  <si>
    <t>2026-03-03T13:12:08.894-05:00</t>
  </si>
  <si>
    <t>2026-03-03T13:12:10.273-05:00</t>
  </si>
  <si>
    <t>2026-03-03T13:12:11.383-05:00</t>
  </si>
  <si>
    <t>2026-03-03T13:12:12.796-05:00</t>
  </si>
  <si>
    <t>2026-03-03T13:12:13.889-05:00</t>
  </si>
  <si>
    <t>2026-03-03T13:12:15.101-05:00</t>
  </si>
  <si>
    <t>2026-03-03T13:12:39.909-05:00</t>
  </si>
  <si>
    <t>2026-03-03T13:12:41.209-05:00</t>
  </si>
  <si>
    <t>2026-03-03T13:12:42.339-05:00</t>
  </si>
  <si>
    <t>2026-03-03T13:12:43.474-05:00</t>
  </si>
  <si>
    <t>2026-03-03T13:12:44.598-05:00</t>
  </si>
  <si>
    <t>2026-03-03T13:12:45.677-05:00</t>
  </si>
  <si>
    <t>2026-03-03T13:12:46.783-05:00</t>
  </si>
  <si>
    <t>2026-03-03T13:12:47.955-05:00</t>
  </si>
  <si>
    <t>2026-03-03T13:12:49.046-05:00</t>
  </si>
  <si>
    <t>2026-03-03T13:12:50.300-05:00</t>
  </si>
  <si>
    <t>2026-03-03T13:12:51.422-05:00</t>
  </si>
  <si>
    <t>2026-03-03T13:12:52.436-05:00</t>
  </si>
  <si>
    <t>2026-03-03T13:12:53.536-05:00</t>
  </si>
  <si>
    <t>2026-03-03T13:12:54.804-05:00</t>
  </si>
  <si>
    <t>2026-03-03T13:12:55.900-05:00</t>
  </si>
  <si>
    <t>2026-03-03T13:12:57.226-05:00</t>
  </si>
  <si>
    <t>2026-03-03T13:12:58.347-05:00</t>
  </si>
  <si>
    <t>2026-03-03T13:12:59.586-05:00</t>
  </si>
  <si>
    <t>2026-03-03T13:13:00.727-05:00</t>
  </si>
  <si>
    <t>2026-03-03T13:13:01.888-05:00</t>
  </si>
  <si>
    <t>2026-03-03T13:21:22.337-05:00</t>
  </si>
  <si>
    <t>2026-03-03T13:21:23.671-05:00</t>
  </si>
  <si>
    <t>2026-03-03T13:21:24.954-05:00</t>
  </si>
  <si>
    <t>2026-03-03T13:21:26.113-05:00</t>
  </si>
  <si>
    <t>2026-03-03T13:21:27.286-05:00</t>
  </si>
  <si>
    <t>2026-03-03T13:21:28.406-05:00</t>
  </si>
  <si>
    <t>2026-03-03T13:21:29.491-05:00</t>
  </si>
  <si>
    <t>2026-03-03T13:21:30.683-05:00</t>
  </si>
  <si>
    <t>2026-03-03T13:21:31.825-05:00</t>
  </si>
  <si>
    <t>2026-03-03T13:21:33.048-05:00</t>
  </si>
  <si>
    <t>2026-03-03T13:21:34.142-05:00</t>
  </si>
  <si>
    <t>2026-03-03T13:21:35.142-05:00</t>
  </si>
  <si>
    <t>2026-03-03T13:21:36.231-05:00</t>
  </si>
  <si>
    <t>2026-03-03T13:21:37.267-05:00</t>
  </si>
  <si>
    <t>2026-03-03T13:21:38.368-05:00</t>
  </si>
  <si>
    <t>2026-03-03T13:21:39.499-05:00</t>
  </si>
  <si>
    <t>2026-03-03T13:21:40.588-05:00</t>
  </si>
  <si>
    <t>2026-03-03T13:21:41.582-05:00</t>
  </si>
  <si>
    <t>2026-03-03T13:21:42.675-05:00</t>
  </si>
  <si>
    <t>2026-03-03T13:21:43.819-05:00</t>
  </si>
  <si>
    <t>2026-03-03T13:38:21.072-05:00</t>
  </si>
  <si>
    <t>2026-03-03T13:38:22.391-05:00</t>
  </si>
  <si>
    <t>2026-03-03T13:38:23.479-05:00</t>
  </si>
  <si>
    <t>2026-03-03T13:38:24.615-05:00</t>
  </si>
  <si>
    <t>2026-03-03T13:38:25.716-05:00</t>
  </si>
  <si>
    <t>2026-03-03T13:38:26.935-05:00</t>
  </si>
  <si>
    <t>2026-03-03T13:38:28.042-05:00</t>
  </si>
  <si>
    <t>2026-03-03T13:38:29.091-05:00</t>
  </si>
  <si>
    <t>2026-03-03T13:38:30.183-05:00</t>
  </si>
  <si>
    <t>2026-03-03T13:38:31.343-05:00</t>
  </si>
  <si>
    <t>2026-03-03T13:38:32.425-05:00</t>
  </si>
  <si>
    <t>2026-03-03T13:38:33.554-05:00</t>
  </si>
  <si>
    <t>2026-03-03T13:38:34.703-05:00</t>
  </si>
  <si>
    <t>2026-03-03T13:38:35.679-05:00</t>
  </si>
  <si>
    <t>2026-03-03T13:38:36.853-05:00</t>
  </si>
  <si>
    <t>2026-03-03T13:38:38.078-05:00</t>
  </si>
  <si>
    <t>2026-03-03T13:38:39.215-05:00</t>
  </si>
  <si>
    <t>2026-03-03T13:38:40.347-05:00</t>
  </si>
  <si>
    <t>2026-03-03T13:38:41.453-05:00</t>
  </si>
  <si>
    <t>2026-03-03T13:38:42.416-05:00</t>
  </si>
  <si>
    <t>2026-03-03T13:39:57.684-05:00</t>
  </si>
  <si>
    <t>2026-03-03T13:39:58.982-05:00</t>
  </si>
  <si>
    <t>2026-03-03T13:40:00.105-05:00</t>
  </si>
  <si>
    <t>2026-03-03T13:40:01.415-05:00</t>
  </si>
  <si>
    <t>2026-03-03T13:40:02.501-05:00</t>
  </si>
  <si>
    <t>2026-03-03T13:40:03.741-05:00</t>
  </si>
  <si>
    <t>2026-03-03T13:40:04.858-05:00</t>
  </si>
  <si>
    <t>2026-03-03T13:40:06.221-05:00</t>
  </si>
  <si>
    <t>2026-03-03T13:40:07.311-05:00</t>
  </si>
  <si>
    <t>2026-03-03T13:40:08.421-05:00</t>
  </si>
  <si>
    <t>2026-03-03T13:40:09.523-05:00</t>
  </si>
  <si>
    <t>2026-03-03T13:40:11.785-05:00</t>
  </si>
  <si>
    <t>2026-03-03T13:40:12.905-05:00</t>
  </si>
  <si>
    <t>2026-03-03T13:40:14.172-05:00</t>
  </si>
  <si>
    <t>2026-03-03T13:40:15.276-05:00</t>
  </si>
  <si>
    <t>2026-03-03T13:40:16.562-05:00</t>
  </si>
  <si>
    <t>2026-03-03T13:40:17.659-05:00</t>
  </si>
  <si>
    <t>2026-03-03T13:40:18.932-05:00</t>
  </si>
  <si>
    <t>2026-03-03T13:40:20.072-05:00</t>
  </si>
  <si>
    <t>2026-03-03T13:40:21.193-05:00</t>
  </si>
  <si>
    <t>2026-03-03T13:40:37.299-05:00</t>
  </si>
  <si>
    <t>2026-03-03T13:40:38.431-05:00</t>
  </si>
  <si>
    <t>2026-03-03T13:40:39.714-05:00</t>
  </si>
  <si>
    <t>2026-03-03T13:40:40.896-05:00</t>
  </si>
  <si>
    <t>2026-03-03T13:40:42.042-05:00</t>
  </si>
  <si>
    <t>2026-03-03T13:40:43.148-05:00</t>
  </si>
  <si>
    <t>2026-03-03T13:40:44.234-05:00</t>
  </si>
  <si>
    <t>2026-03-03T13:40:45.480-05:00</t>
  </si>
  <si>
    <t>2026-03-03T13:40:46.627-05:00</t>
  </si>
  <si>
    <t>2026-03-03T13:40:48.132-05:00</t>
  </si>
  <si>
    <t>2026-03-03T13:40:49.281-05:00</t>
  </si>
  <si>
    <t>2026-03-03T13:40:50.540-05:00</t>
  </si>
  <si>
    <t>2026-03-03T13:40:51.643-05:00</t>
  </si>
  <si>
    <t>2026-03-03T13:40:52.820-05:00</t>
  </si>
  <si>
    <t>2026-03-03T13:40:53.956-05:00</t>
  </si>
  <si>
    <t>2026-03-03T13:40:55.182-05:00</t>
  </si>
  <si>
    <t>2026-03-03T13:40:56.277-05:00</t>
  </si>
  <si>
    <t>2026-03-03T13:40:57.552-05:00</t>
  </si>
  <si>
    <t>2026-03-03T13:40:58.664-05:00</t>
  </si>
  <si>
    <t>2026-03-03T13:41:01.201-05:00</t>
  </si>
  <si>
    <t>2026-03-03T13:41:14.726-05:00</t>
  </si>
  <si>
    <t>2026-03-03T13:41:15.995-05:00</t>
  </si>
  <si>
    <t>2026-03-03T13:41:17.107-05:00</t>
  </si>
  <si>
    <t>2026-03-03T13:41:18.344-05:00</t>
  </si>
  <si>
    <t>2026-03-03T13:41:19.445-05:00</t>
  </si>
  <si>
    <t>2026-03-03T13:41:20.601-05:00</t>
  </si>
  <si>
    <t>2026-03-03T13:41:21.721-05:00</t>
  </si>
  <si>
    <t>2026-03-03T13:41:22.956-05:00</t>
  </si>
  <si>
    <t>2026-03-03T13:41:24.079-05:00</t>
  </si>
  <si>
    <t>2026-03-03T13:41:25.202-05:00</t>
  </si>
  <si>
    <t>2026-03-03T13:41:26.292-05:00</t>
  </si>
  <si>
    <t>2026-03-03T13:41:27.434-05:00</t>
  </si>
  <si>
    <t>2026-03-03T13:41:28.528-05:00</t>
  </si>
  <si>
    <t>2026-03-03T13:41:29.696-05:00</t>
  </si>
  <si>
    <t>2026-03-03T13:41:30.813-05:00</t>
  </si>
  <si>
    <t>2026-03-03T13:41:32.307-05:00</t>
  </si>
  <si>
    <t>2026-03-03T13:41:33.404-05:00</t>
  </si>
  <si>
    <t>2026-03-03T13:41:34.539-05:00</t>
  </si>
  <si>
    <t>2026-03-03T13:41:35.620-05:00</t>
  </si>
  <si>
    <t>2026-03-03T13:41:36.719-05:00</t>
  </si>
  <si>
    <t>2026-03-03T13:42:18.375-05:00</t>
  </si>
  <si>
    <t>2026-03-03T13:42:20.180-05:00</t>
  </si>
  <si>
    <t>2026-03-03T13:42:21.282-05:00</t>
  </si>
  <si>
    <t>2026-03-03T13:42:22.726-05:00</t>
  </si>
  <si>
    <t>2026-03-03T13:42:23.857-05:00</t>
  </si>
  <si>
    <t>2026-03-03T13:42:25.401-05:00</t>
  </si>
  <si>
    <t>2026-03-03T13:42:26.484-05:00</t>
  </si>
  <si>
    <t>2026-03-03T13:42:27.925-05:00</t>
  </si>
  <si>
    <t>2026-03-03T13:42:29.026-05:00</t>
  </si>
  <si>
    <t>2026-03-03T13:42:30.822-05:00</t>
  </si>
  <si>
    <t>2026-03-03T13:42:31.999-05:00</t>
  </si>
  <si>
    <t>2026-03-03T13:42:33.415-05:00</t>
  </si>
  <si>
    <t>2026-03-03T13:42:34.530-05:00</t>
  </si>
  <si>
    <t>2026-03-03T13:42:36.321-05:00</t>
  </si>
  <si>
    <t>2026-03-03T13:42:37.399-05:00</t>
  </si>
  <si>
    <t>2026-03-03T13:42:38.870-05:00</t>
  </si>
  <si>
    <t>2026-03-03T13:42:40.000-05:00</t>
  </si>
  <si>
    <t>2026-03-03T13:42:41.468-05:00</t>
  </si>
  <si>
    <t>2026-03-03T13:42:42.547-05:00</t>
  </si>
  <si>
    <t>2026-03-03T13:42:44.045-05:00</t>
  </si>
  <si>
    <t>2026-03-03T13:43:00.953-05:00</t>
  </si>
  <si>
    <t>2026-03-03T13:43:02.378-05:00</t>
  </si>
  <si>
    <t>2026-03-03T13:43:03.480-05:00</t>
  </si>
  <si>
    <t>2026-03-03T13:43:04.876-05:00</t>
  </si>
  <si>
    <t>2026-03-03T13:43:06.011-05:00</t>
  </si>
  <si>
    <t>2026-03-03T13:43:07.451-05:00</t>
  </si>
  <si>
    <t>2026-03-03T13:43:08.538-05:00</t>
  </si>
  <si>
    <t>2026-03-03T13:43:09.959-05:00</t>
  </si>
  <si>
    <t>2026-03-03T13:43:11.102-05:00</t>
  </si>
  <si>
    <t>2026-03-03T13:43:12.875-05:00</t>
  </si>
  <si>
    <t>2026-03-03T13:43:14.001-05:00</t>
  </si>
  <si>
    <t>2026-03-03T13:43:15.871-05:00</t>
  </si>
  <si>
    <t>2026-03-03T13:43:17.022-05:00</t>
  </si>
  <si>
    <t>2026-03-03T13:43:19.132-05:00</t>
  </si>
  <si>
    <t>2026-03-03T13:43:20.254-05:00</t>
  </si>
  <si>
    <t>2026-03-03T13:43:21.614-05:00</t>
  </si>
  <si>
    <t>2026-03-03T13:43:22.742-05:00</t>
  </si>
  <si>
    <t>2026-03-03T13:43:24.025-05:00</t>
  </si>
  <si>
    <t>2026-03-03T13:43:25.110-05:00</t>
  </si>
  <si>
    <t>2026-03-03T13:43:26.298-05:00</t>
  </si>
  <si>
    <t>2026-03-03T13:51:37.265-05:00</t>
  </si>
  <si>
    <t>2026-03-03T13:51:40.113-05:00</t>
  </si>
  <si>
    <t>2026-03-03T13:51:41.273-05:00</t>
  </si>
  <si>
    <t>2026-03-03T13:51:43.087-05:00</t>
  </si>
  <si>
    <t>2026-03-03T13:51:44.210-05:00</t>
  </si>
  <si>
    <t>2026-03-03T13:51:47.375-05:00</t>
  </si>
  <si>
    <t>2026-03-03T13:51:48.478-05:00</t>
  </si>
  <si>
    <t>2026-03-03T13:51:52.176-05:00</t>
  </si>
  <si>
    <t>2026-03-03T13:51:53.278-05:00</t>
  </si>
  <si>
    <t>2026-03-03T13:51:55.043-05:00</t>
  </si>
  <si>
    <t>2026-03-03T13:51:56.281-05:00</t>
  </si>
  <si>
    <t>2026-03-03T13:51:58.152-05:00</t>
  </si>
  <si>
    <t>2026-03-03T13:51:59.290-05:00</t>
  </si>
  <si>
    <t>2026-03-03T13:52:01.031-05:00</t>
  </si>
  <si>
    <t>2026-03-03T13:52:02.178-05:00</t>
  </si>
  <si>
    <t>2026-03-03T13:52:03.580-05:00</t>
  </si>
  <si>
    <t>2026-03-03T13:52:04.662-05:00</t>
  </si>
  <si>
    <t>2026-03-03T13:52:05.857-05:00</t>
  </si>
  <si>
    <t>2026-03-03T13:52:06.951-05:00</t>
  </si>
  <si>
    <t>2026-03-03T13:52:08.767-05:00</t>
  </si>
  <si>
    <t>Q1 (25th)</t>
  </si>
  <si>
    <t>Q3 (75th)</t>
  </si>
  <si>
    <t>Minimun</t>
  </si>
  <si>
    <t>Maximun</t>
  </si>
  <si>
    <t>P95</t>
  </si>
  <si>
    <t>Risk Classification</t>
  </si>
  <si>
    <t>date</t>
  </si>
  <si>
    <t>Type</t>
  </si>
  <si>
    <t>2026-03-03</t>
  </si>
  <si>
    <t>R.Min</t>
  </si>
  <si>
    <t>R.Max</t>
  </si>
  <si>
    <t>2026-03-05</t>
  </si>
  <si>
    <t>Combined Results</t>
  </si>
  <si>
    <t>Winner</t>
  </si>
  <si>
    <t>March 3 Only Winner</t>
  </si>
  <si>
    <t>March 5 Only Winner</t>
  </si>
  <si>
    <t>Combined Average Winner</t>
  </si>
  <si>
    <t>Winner_Stable_Mean_Mar3 (Min)</t>
  </si>
  <si>
    <t>Winner_Stable_Mean_Mar3 (Max)</t>
  </si>
  <si>
    <t>Dynamic_Threshold_T_Cell</t>
  </si>
  <si>
    <t>Combined - Risk Classification</t>
  </si>
  <si>
    <t>March 3 Winner - Risk Classification</t>
  </si>
  <si>
    <t>March 3 Winner (Stable) - Risk Classification</t>
  </si>
  <si>
    <t>March 5 Winner - Risk Classification</t>
  </si>
  <si>
    <t>March 5 Winner (Stable) - Risk Classification</t>
  </si>
  <si>
    <t xml:space="preserve">Executive Summary Winner </t>
  </si>
  <si>
    <t>Stable Runs</t>
  </si>
  <si>
    <t>Symbolic Combined Mean</t>
  </si>
  <si>
    <t>DSL/JSON Combined Mean</t>
  </si>
  <si>
    <t>Normal Combined Mean</t>
  </si>
  <si>
    <t>threshold</t>
  </si>
  <si>
    <t>Only Icon RC.</t>
  </si>
  <si>
    <t>Std Dev (σ)</t>
  </si>
  <si>
    <t>Minimum</t>
  </si>
  <si>
    <t>Maximum</t>
  </si>
  <si>
    <t>Dynamic Threshold T</t>
  </si>
  <si>
    <t>Step 4: Calculate Per-Date Winners for Each Metric</t>
  </si>
  <si>
    <t>Symbolic</t>
  </si>
  <si>
    <t>DSL_JSON</t>
  </si>
  <si>
    <t>Normal</t>
  </si>
  <si>
    <t>Warning</t>
  </si>
  <si>
    <t>Elegible</t>
  </si>
  <si>
    <t>Combiner Winner</t>
  </si>
  <si>
    <t>Maximun (lower is better)</t>
  </si>
  <si>
    <t>Std Dev (consistency)</t>
  </si>
  <si>
    <t>P95 (worst case)</t>
  </si>
  <si>
    <t>IQR (core consistency)</t>
  </si>
  <si>
    <t>Range (stability)</t>
  </si>
  <si>
    <t>CV (predictability)</t>
  </si>
  <si>
    <t>Overall Winner by Date</t>
  </si>
  <si>
    <t>Dataset</t>
  </si>
  <si>
    <t>March 3 Only</t>
  </si>
  <si>
    <t>March 5 Only</t>
  </si>
  <si>
    <t>Determine Global Disqualification</t>
  </si>
  <si>
    <t>DSL/JSON</t>
  </si>
  <si>
    <t>Executive Summary Winner Helper Cells</t>
  </si>
  <si>
    <t>Description</t>
  </si>
  <si>
    <t>Value</t>
  </si>
  <si>
    <t>Fastest Mean (Combined)</t>
  </si>
  <si>
    <t>5% Threshold</t>
  </si>
  <si>
    <t>Second Fastest Mean</t>
  </si>
  <si>
    <t>Mean Difference</t>
  </si>
  <si>
    <t>Mar 3 Winner</t>
  </si>
  <si>
    <t>Mar 5 Winner</t>
  </si>
  <si>
    <t>Symbolic Eligible?</t>
  </si>
  <si>
    <t>DSL/JSON Eligible?</t>
  </si>
  <si>
    <t>Normal Eligible?</t>
  </si>
  <si>
    <t>Symbolic Warning</t>
  </si>
  <si>
    <t>DSL/JSON Warning</t>
  </si>
  <si>
    <t>Normal Warning</t>
  </si>
  <si>
    <t>Symbolic Conditional</t>
  </si>
  <si>
    <t>DSL/JSON Conditional</t>
  </si>
  <si>
    <t>Normal Conditional</t>
  </si>
  <si>
    <t>Executive Summary Winner</t>
  </si>
  <si>
    <t>Weighted Combined Mean</t>
  </si>
  <si>
    <t>Temporal Stability Score</t>
  </si>
  <si>
    <t>Eligible Formats Check</t>
  </si>
  <si>
    <t>Fastest Mean</t>
  </si>
  <si>
    <t>Disqualified Notes</t>
  </si>
  <si>
    <t>3 Eligible Formats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</si>
</sst>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F1115"/>
      <name val="Segoe U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4">
    <xf numFmtId="0" fontId="0" fillId="0" borderId="0" xfId="0"/>
    <xf numFmtId="47" fontId="0" fillId="0" borderId="0" xfId="0" applyNumberFormat="1"/>
    <xf numFmtId="0" fontId="6" fillId="2" borderId="0" xfId="8"/>
    <xf numFmtId="164" fontId="6" fillId="2" borderId="0" xfId="8" applyNumberFormat="1"/>
    <xf numFmtId="2" fontId="0" fillId="0" borderId="0" xfId="0" applyNumberFormat="1"/>
    <xf numFmtId="9" fontId="0" fillId="0" borderId="0" xfId="2" applyFont="1"/>
    <xf numFmtId="43" fontId="0" fillId="0" borderId="0" xfId="1" applyFont="1"/>
    <xf numFmtId="0" fontId="16" fillId="0" borderId="0" xfId="0" applyFont="1"/>
    <xf numFmtId="0" fontId="0" fillId="0" borderId="10" xfId="0" applyBorder="1"/>
    <xf numFmtId="0" fontId="16" fillId="0" borderId="16" xfId="0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6" fillId="0" borderId="10" xfId="0" applyFont="1" applyBorder="1"/>
    <xf numFmtId="0" fontId="16" fillId="0" borderId="13" xfId="0" applyFont="1" applyBorder="1"/>
    <xf numFmtId="0" fontId="16" fillId="0" borderId="14" xfId="0" applyFont="1" applyBorder="1"/>
    <xf numFmtId="2" fontId="0" fillId="33" borderId="0" xfId="0" applyNumberFormat="1" applyFill="1"/>
    <xf numFmtId="9" fontId="0" fillId="33" borderId="0" xfId="2" applyFont="1" applyFill="1"/>
    <xf numFmtId="0" fontId="0" fillId="0" borderId="0" xfId="0" applyAlignment="1">
      <alignment wrapText="1"/>
    </xf>
    <xf numFmtId="2" fontId="0" fillId="0" borderId="8" xfId="17" applyNumberFormat="1" applyFont="1" applyFill="1"/>
    <xf numFmtId="16" fontId="0" fillId="0" borderId="0" xfId="0" applyNumberFormat="1"/>
    <xf numFmtId="0" fontId="0" fillId="0" borderId="21" xfId="0" applyBorder="1"/>
    <xf numFmtId="0" fontId="0" fillId="0" borderId="21" xfId="0" applyBorder="1" applyAlignment="1">
      <alignment wrapText="1"/>
    </xf>
    <xf numFmtId="0" fontId="0" fillId="0" borderId="0" xfId="0" applyAlignment="1">
      <alignment horizontal="center"/>
    </xf>
    <xf numFmtId="0" fontId="0" fillId="0" borderId="21" xfId="0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6" fillId="2" borderId="10" xfId="8" applyBorder="1" applyAlignment="1">
      <alignment horizontal="center" wrapText="1"/>
    </xf>
    <xf numFmtId="0" fontId="6" fillId="2" borderId="11" xfId="8" applyBorder="1" applyAlignment="1">
      <alignment horizontal="center" wrapText="1"/>
    </xf>
    <xf numFmtId="0" fontId="6" fillId="2" borderId="12" xfId="8" applyBorder="1" applyAlignment="1">
      <alignment horizontal="center" wrapText="1"/>
    </xf>
    <xf numFmtId="0" fontId="6" fillId="2" borderId="13" xfId="8" applyBorder="1" applyAlignment="1">
      <alignment horizontal="center" wrapText="1"/>
    </xf>
    <xf numFmtId="0" fontId="6" fillId="2" borderId="14" xfId="8" applyBorder="1" applyAlignment="1">
      <alignment horizontal="center" wrapText="1"/>
    </xf>
    <xf numFmtId="0" fontId="6" fillId="2" borderId="15" xfId="8" applyBorder="1" applyAlignment="1">
      <alignment horizontal="center" wrapText="1"/>
    </xf>
    <xf numFmtId="49" fontId="0" fillId="0" borderId="11" xfId="0" applyNumberFormat="1" applyBorder="1" applyAlignment="1">
      <alignment horizontal="center"/>
    </xf>
    <xf numFmtId="49" fontId="0" fillId="0" borderId="12" xfId="0" applyNumberFormat="1" applyBorder="1" applyAlignment="1">
      <alignment horizontal="center"/>
    </xf>
    <xf numFmtId="0" fontId="6" fillId="2" borderId="0" xfId="8" applyBorder="1"/>
    <xf numFmtId="0" fontId="6" fillId="2" borderId="17" xfId="8" applyBorder="1"/>
    <xf numFmtId="0" fontId="0" fillId="0" borderId="18" xfId="0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18" fillId="0" borderId="10" xfId="44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8" fillId="4" borderId="11" xfId="10" applyNumberFormat="1" applyBorder="1" applyAlignment="1">
      <alignment horizontal="center"/>
    </xf>
    <xf numFmtId="49" fontId="8" fillId="4" borderId="12" xfId="10" applyNumberForma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6" fillId="2" borderId="10" xfId="8" applyBorder="1" applyAlignment="1">
      <alignment horizontal="center" vertical="center" wrapText="1"/>
    </xf>
    <xf numFmtId="0" fontId="6" fillId="2" borderId="11" xfId="8" applyBorder="1" applyAlignment="1">
      <alignment horizontal="center" vertical="center" wrapText="1"/>
    </xf>
    <xf numFmtId="0" fontId="6" fillId="2" borderId="12" xfId="8" applyBorder="1" applyAlignment="1">
      <alignment horizontal="center" vertical="center" wrapText="1"/>
    </xf>
    <xf numFmtId="0" fontId="6" fillId="2" borderId="13" xfId="8" applyBorder="1" applyAlignment="1">
      <alignment horizontal="center" vertical="center" wrapText="1"/>
    </xf>
    <xf numFmtId="0" fontId="6" fillId="2" borderId="14" xfId="8" applyBorder="1" applyAlignment="1">
      <alignment horizontal="center" vertical="center" wrapText="1"/>
    </xf>
    <xf numFmtId="0" fontId="6" fillId="2" borderId="15" xfId="8" applyBorder="1" applyAlignment="1">
      <alignment horizontal="center" vertical="center" wrapText="1"/>
    </xf>
  </cellXfs>
  <cellStyles count="45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4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laude-3-haiku@20240307" TargetMode="External"/><Relationship Id="rId2" Type="http://schemas.openxmlformats.org/officeDocument/2006/relationships/hyperlink" Target="mailto:claude-3-haiku@20240307" TargetMode="External"/><Relationship Id="rId1" Type="http://schemas.openxmlformats.org/officeDocument/2006/relationships/hyperlink" Target="mailto:claude-3-haiku@20240307%0aAll%20Runs%20Mar%205,%202026%20Detailed%20Analysis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claude-3-haiku@20240307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gemini-2.0-flash@001" TargetMode="External"/><Relationship Id="rId1" Type="http://schemas.openxmlformats.org/officeDocument/2006/relationships/hyperlink" Target="mailto:claude-3-haiku@20240307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gemini-2.0-flash@001" TargetMode="External"/><Relationship Id="rId1" Type="http://schemas.openxmlformats.org/officeDocument/2006/relationships/hyperlink" Target="mailto:claude-3-haiku@20240307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mailto:gpt-4o-mini@2024-07-18" TargetMode="External"/><Relationship Id="rId1" Type="http://schemas.openxmlformats.org/officeDocument/2006/relationships/hyperlink" Target="mailto:claude-3-haiku@202403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6A5D1-7798-4E41-8CE5-E61CD6020CD8}">
  <dimension ref="A1:AO301"/>
  <sheetViews>
    <sheetView topLeftCell="H24" zoomScale="80" zoomScaleNormal="80" workbookViewId="0">
      <selection activeCell="O8" sqref="O8:AO61"/>
    </sheetView>
  </sheetViews>
  <sheetFormatPr defaultRowHeight="15" x14ac:dyDescent="0.25"/>
  <cols>
    <col min="1" max="1" width="24.5703125" bestFit="1" customWidth="1"/>
    <col min="2" max="2" width="8" bestFit="1" customWidth="1"/>
    <col min="3" max="3" width="14.28515625" bestFit="1" customWidth="1"/>
    <col min="4" max="5" width="28" bestFit="1" customWidth="1"/>
    <col min="6" max="6" width="11.140625" bestFit="1" customWidth="1"/>
    <col min="7" max="7" width="8.140625" bestFit="1" customWidth="1"/>
    <col min="8" max="8" width="18" bestFit="1" customWidth="1"/>
    <col min="9" max="9" width="14.28515625" bestFit="1" customWidth="1"/>
    <col min="10" max="10" width="11.7109375" bestFit="1" customWidth="1"/>
    <col min="11" max="11" width="5.85546875" bestFit="1" customWidth="1"/>
    <col min="12" max="12" width="6.7109375" bestFit="1" customWidth="1"/>
    <col min="13" max="13" width="17.28515625" bestFit="1" customWidth="1"/>
    <col min="15" max="15" width="23.42578125" bestFit="1" customWidth="1"/>
    <col min="20" max="20" width="18.85546875" bestFit="1" customWidth="1"/>
    <col min="21" max="21" width="20" customWidth="1"/>
    <col min="22" max="22" width="21.7109375" customWidth="1"/>
    <col min="23" max="23" width="17.28515625" customWidth="1"/>
    <col min="25" max="25" width="23.140625" customWidth="1"/>
    <col min="26" max="28" width="17.5703125" customWidth="1"/>
    <col min="30" max="30" width="18.85546875" bestFit="1" customWidth="1"/>
    <col min="34" max="34" width="15.5703125" bestFit="1" customWidth="1"/>
    <col min="35" max="35" width="18.85546875" bestFit="1" customWidth="1"/>
  </cols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390</v>
      </c>
    </row>
    <row r="2" spans="1:41" ht="15.75" thickBot="1" x14ac:dyDescent="0.3">
      <c r="A2" t="s">
        <v>12</v>
      </c>
      <c r="B2">
        <v>1</v>
      </c>
      <c r="C2" t="s">
        <v>13</v>
      </c>
      <c r="D2" t="s">
        <v>322</v>
      </c>
      <c r="E2" t="s">
        <v>323</v>
      </c>
      <c r="F2" s="1">
        <v>1.5046296296296297E-5</v>
      </c>
      <c r="G2" t="s">
        <v>16</v>
      </c>
      <c r="H2">
        <v>5</v>
      </c>
      <c r="I2">
        <v>81</v>
      </c>
      <c r="J2">
        <v>86</v>
      </c>
      <c r="L2" t="s">
        <v>17</v>
      </c>
      <c r="M2" s="3">
        <f>(SUBSTITUTE(LEFT(E2,23),"T"," ")-SUBSTITUTE(LEFT(D2,23),"T"," "))*86400</f>
        <v>1.0330002056434751</v>
      </c>
    </row>
    <row r="3" spans="1:41" ht="15" customHeight="1" x14ac:dyDescent="0.25">
      <c r="A3" t="s">
        <v>12</v>
      </c>
      <c r="B3">
        <v>2</v>
      </c>
      <c r="C3" t="s">
        <v>13</v>
      </c>
      <c r="D3" t="s">
        <v>324</v>
      </c>
      <c r="E3" t="s">
        <v>325</v>
      </c>
      <c r="F3" s="1">
        <v>1.1574074074074073E-5</v>
      </c>
      <c r="G3" t="s">
        <v>16</v>
      </c>
      <c r="H3">
        <v>5</v>
      </c>
      <c r="I3">
        <v>81</v>
      </c>
      <c r="J3">
        <v>86</v>
      </c>
      <c r="L3" t="s">
        <v>17</v>
      </c>
      <c r="M3" s="3">
        <f t="shared" ref="M3:M66" si="0">(SUBSTITUTE(LEFT(E3,23),"T"," ")-SUBSTITUTE(LEFT(D3,23),"T"," "))*86400</f>
        <v>0.98500018939375877</v>
      </c>
      <c r="O3" s="39" t="s">
        <v>12</v>
      </c>
      <c r="P3" s="40"/>
      <c r="Q3" s="40"/>
      <c r="R3" s="41"/>
      <c r="T3" s="26" t="str">
        <f>O3 &amp; "
All Runs Mar 3, 2026 Detailed Analysis"</f>
        <v>claude-3-haiku@20240307
All Runs Mar 3, 2026 Detailed Analysis</v>
      </c>
      <c r="U3" s="27"/>
      <c r="V3" s="27"/>
      <c r="W3" s="28"/>
      <c r="Y3" s="26" t="str">
        <f>O3 &amp; "
Stable Runs (2-9) Mar 3, 2026 "</f>
        <v xml:space="preserve">claude-3-haiku@20240307
Stable Runs (2-9) Mar 3, 2026 </v>
      </c>
      <c r="Z3" s="27"/>
      <c r="AA3" s="27"/>
      <c r="AB3" s="28"/>
      <c r="AD3" s="26" t="str">
        <f>O3 &amp; "
All Runs Mar 5, 2026 Detailed Analysis"</f>
        <v>claude-3-haiku@20240307
All Runs Mar 5, 2026 Detailed Analysis</v>
      </c>
      <c r="AE3" s="27"/>
      <c r="AF3" s="27"/>
      <c r="AG3" s="28"/>
      <c r="AI3" s="26" t="str">
        <f>O3 &amp; "
Stable Runs (2-9) Mar 5, 2026 "</f>
        <v xml:space="preserve">claude-3-haiku@20240307
Stable Runs (2-9) Mar 5, 2026 </v>
      </c>
      <c r="AJ3" s="27"/>
      <c r="AK3" s="27"/>
      <c r="AL3" s="28"/>
    </row>
    <row r="4" spans="1:41" ht="15.75" thickBot="1" x14ac:dyDescent="0.3">
      <c r="A4" t="s">
        <v>12</v>
      </c>
      <c r="B4">
        <v>3</v>
      </c>
      <c r="C4" t="s">
        <v>13</v>
      </c>
      <c r="D4" t="s">
        <v>326</v>
      </c>
      <c r="E4" t="s">
        <v>327</v>
      </c>
      <c r="F4" s="1">
        <v>2.0833333333333333E-5</v>
      </c>
      <c r="G4" t="s">
        <v>16</v>
      </c>
      <c r="H4">
        <v>5</v>
      </c>
      <c r="I4">
        <v>81</v>
      </c>
      <c r="J4">
        <v>86</v>
      </c>
      <c r="L4" t="s">
        <v>17</v>
      </c>
      <c r="M4" s="3">
        <f t="shared" si="0"/>
        <v>1.0829999344423413</v>
      </c>
      <c r="O4" s="42"/>
      <c r="P4" s="43"/>
      <c r="Q4" s="43"/>
      <c r="R4" s="44"/>
      <c r="T4" s="29"/>
      <c r="U4" s="30"/>
      <c r="V4" s="30"/>
      <c r="W4" s="31"/>
      <c r="Y4" s="29"/>
      <c r="Z4" s="30"/>
      <c r="AA4" s="30"/>
      <c r="AB4" s="31"/>
      <c r="AD4" s="29"/>
      <c r="AE4" s="30"/>
      <c r="AF4" s="30"/>
      <c r="AG4" s="31"/>
      <c r="AI4" s="29"/>
      <c r="AJ4" s="30"/>
      <c r="AK4" s="30"/>
      <c r="AL4" s="31"/>
    </row>
    <row r="5" spans="1:41" x14ac:dyDescent="0.25">
      <c r="A5" t="s">
        <v>12</v>
      </c>
      <c r="B5">
        <v>4</v>
      </c>
      <c r="C5" t="s">
        <v>13</v>
      </c>
      <c r="D5" t="s">
        <v>328</v>
      </c>
      <c r="E5" t="s">
        <v>329</v>
      </c>
      <c r="F5" s="1">
        <v>1.1574074074074073E-5</v>
      </c>
      <c r="G5" t="s">
        <v>16</v>
      </c>
      <c r="H5">
        <v>5</v>
      </c>
      <c r="I5">
        <v>81</v>
      </c>
      <c r="J5">
        <v>86</v>
      </c>
      <c r="L5" t="s">
        <v>17</v>
      </c>
      <c r="M5" s="3">
        <f t="shared" si="0"/>
        <v>0.96200003754347563</v>
      </c>
      <c r="O5" s="8"/>
      <c r="P5" s="45" t="s">
        <v>643</v>
      </c>
      <c r="Q5" s="45"/>
      <c r="R5" s="46"/>
      <c r="T5" s="13" t="s">
        <v>637</v>
      </c>
      <c r="U5" s="32" t="s">
        <v>639</v>
      </c>
      <c r="V5" s="32"/>
      <c r="W5" s="33"/>
      <c r="Y5" s="13" t="s">
        <v>637</v>
      </c>
      <c r="Z5" s="32" t="s">
        <v>639</v>
      </c>
      <c r="AA5" s="32"/>
      <c r="AB5" s="33"/>
      <c r="AD5" s="13" t="s">
        <v>637</v>
      </c>
      <c r="AE5" s="32" t="s">
        <v>642</v>
      </c>
      <c r="AF5" s="32"/>
      <c r="AG5" s="33"/>
      <c r="AI5" s="13" t="s">
        <v>637</v>
      </c>
      <c r="AJ5" s="32" t="s">
        <v>642</v>
      </c>
      <c r="AK5" s="32"/>
      <c r="AL5" s="33"/>
    </row>
    <row r="6" spans="1:41" x14ac:dyDescent="0.25">
      <c r="A6" t="s">
        <v>12</v>
      </c>
      <c r="B6">
        <v>5</v>
      </c>
      <c r="C6" t="s">
        <v>13</v>
      </c>
      <c r="D6" t="s">
        <v>330</v>
      </c>
      <c r="E6" t="s">
        <v>331</v>
      </c>
      <c r="F6" s="1">
        <v>1.3888888888888888E-5</v>
      </c>
      <c r="G6" t="s">
        <v>16</v>
      </c>
      <c r="H6">
        <v>5</v>
      </c>
      <c r="I6">
        <v>81</v>
      </c>
      <c r="J6">
        <v>86</v>
      </c>
      <c r="L6" t="s">
        <v>17</v>
      </c>
      <c r="M6" s="3">
        <f t="shared" si="0"/>
        <v>1.0150002781301737</v>
      </c>
      <c r="O6" s="9" t="s">
        <v>0</v>
      </c>
      <c r="P6" s="34" t="str">
        <f>O3</f>
        <v>claude-3-haiku@20240307</v>
      </c>
      <c r="Q6" s="34"/>
      <c r="R6" s="35"/>
      <c r="T6" s="9" t="s">
        <v>0</v>
      </c>
      <c r="U6" s="34" t="str">
        <f>P6</f>
        <v>claude-3-haiku@20240307</v>
      </c>
      <c r="V6" s="34"/>
      <c r="W6" s="35"/>
      <c r="Y6" s="9" t="s">
        <v>0</v>
      </c>
      <c r="Z6" s="34" t="str">
        <f>U6</f>
        <v>claude-3-haiku@20240307</v>
      </c>
      <c r="AA6" s="34"/>
      <c r="AB6" s="35"/>
      <c r="AD6" s="9" t="s">
        <v>0</v>
      </c>
      <c r="AE6" s="34" t="str">
        <f>Z6</f>
        <v>claude-3-haiku@20240307</v>
      </c>
      <c r="AF6" s="34"/>
      <c r="AG6" s="35"/>
      <c r="AI6" s="9" t="s">
        <v>0</v>
      </c>
      <c r="AJ6" s="34" t="str">
        <f>AE6</f>
        <v>claude-3-haiku@20240307</v>
      </c>
      <c r="AK6" s="34"/>
      <c r="AL6" s="35"/>
    </row>
    <row r="7" spans="1:41" ht="15.75" thickBot="1" x14ac:dyDescent="0.3">
      <c r="A7" t="s">
        <v>12</v>
      </c>
      <c r="B7">
        <v>6</v>
      </c>
      <c r="C7" t="s">
        <v>13</v>
      </c>
      <c r="D7" t="s">
        <v>332</v>
      </c>
      <c r="E7" t="s">
        <v>333</v>
      </c>
      <c r="F7" s="1">
        <v>1.1574074074074073E-5</v>
      </c>
      <c r="G7" t="s">
        <v>16</v>
      </c>
      <c r="H7">
        <v>5</v>
      </c>
      <c r="I7">
        <v>81</v>
      </c>
      <c r="J7">
        <v>86</v>
      </c>
      <c r="L7" t="s">
        <v>17</v>
      </c>
      <c r="M7" s="3">
        <f t="shared" si="0"/>
        <v>0.99999960511922836</v>
      </c>
      <c r="O7" s="10"/>
      <c r="P7" s="11"/>
      <c r="Q7" s="11"/>
      <c r="R7" s="12"/>
      <c r="T7" s="10"/>
      <c r="U7" s="11"/>
      <c r="V7" s="11"/>
      <c r="W7" s="12"/>
      <c r="Y7" s="14" t="s">
        <v>640</v>
      </c>
      <c r="Z7" s="11">
        <v>2</v>
      </c>
      <c r="AA7" s="15" t="s">
        <v>641</v>
      </c>
      <c r="AB7" s="12">
        <v>9</v>
      </c>
      <c r="AD7" s="10"/>
      <c r="AE7" s="11"/>
      <c r="AF7" s="11"/>
      <c r="AG7" s="12"/>
      <c r="AI7" s="14" t="s">
        <v>640</v>
      </c>
      <c r="AJ7" s="11">
        <v>2</v>
      </c>
      <c r="AK7" s="15" t="s">
        <v>641</v>
      </c>
      <c r="AL7" s="12">
        <v>9</v>
      </c>
    </row>
    <row r="8" spans="1:41" x14ac:dyDescent="0.25">
      <c r="A8" t="s">
        <v>12</v>
      </c>
      <c r="B8">
        <v>7</v>
      </c>
      <c r="C8" t="s">
        <v>13</v>
      </c>
      <c r="D8" t="s">
        <v>334</v>
      </c>
      <c r="E8" t="s">
        <v>335</v>
      </c>
      <c r="F8" s="1">
        <v>1.1574074074074073E-5</v>
      </c>
      <c r="G8" t="s">
        <v>16</v>
      </c>
      <c r="H8">
        <v>5</v>
      </c>
      <c r="I8">
        <v>81</v>
      </c>
      <c r="J8">
        <v>86</v>
      </c>
      <c r="L8" t="s">
        <v>17</v>
      </c>
      <c r="M8" s="3">
        <f t="shared" si="0"/>
        <v>0.97899979446083307</v>
      </c>
      <c r="O8" s="7" t="s">
        <v>638</v>
      </c>
      <c r="P8" s="7" t="s">
        <v>13</v>
      </c>
      <c r="Q8" s="7" t="s">
        <v>36</v>
      </c>
      <c r="R8" s="7" t="s">
        <v>57</v>
      </c>
      <c r="T8" s="7" t="s">
        <v>638</v>
      </c>
      <c r="U8" s="7" t="s">
        <v>13</v>
      </c>
      <c r="V8" s="7" t="s">
        <v>36</v>
      </c>
      <c r="W8" s="7" t="s">
        <v>57</v>
      </c>
      <c r="Y8" s="7" t="s">
        <v>638</v>
      </c>
      <c r="Z8" s="7" t="s">
        <v>13</v>
      </c>
      <c r="AA8" t="s">
        <v>36</v>
      </c>
      <c r="AB8" s="7" t="s">
        <v>57</v>
      </c>
      <c r="AD8" s="7" t="s">
        <v>638</v>
      </c>
      <c r="AE8" s="7" t="s">
        <v>13</v>
      </c>
      <c r="AF8" s="7" t="s">
        <v>36</v>
      </c>
      <c r="AG8" s="7" t="s">
        <v>57</v>
      </c>
      <c r="AI8" s="7" t="s">
        <v>638</v>
      </c>
      <c r="AJ8" s="7" t="s">
        <v>13</v>
      </c>
      <c r="AK8" t="s">
        <v>36</v>
      </c>
      <c r="AL8" s="7" t="s">
        <v>57</v>
      </c>
    </row>
    <row r="9" spans="1:41" x14ac:dyDescent="0.25">
      <c r="A9" t="s">
        <v>12</v>
      </c>
      <c r="B9">
        <v>8</v>
      </c>
      <c r="C9" t="s">
        <v>13</v>
      </c>
      <c r="D9" t="s">
        <v>336</v>
      </c>
      <c r="E9" t="s">
        <v>337</v>
      </c>
      <c r="F9" s="1">
        <v>1.3888888888888888E-5</v>
      </c>
      <c r="G9" t="s">
        <v>16</v>
      </c>
      <c r="H9">
        <v>5</v>
      </c>
      <c r="I9">
        <v>81</v>
      </c>
      <c r="J9">
        <v>86</v>
      </c>
      <c r="L9" t="s">
        <v>17</v>
      </c>
      <c r="M9" s="3">
        <f t="shared" si="0"/>
        <v>1.0160004487261176</v>
      </c>
      <c r="O9" t="s">
        <v>382</v>
      </c>
      <c r="P9" s="4" cm="1">
        <f t="array" ref="P9">ROUND(AVERAGE(_xlfn._xlws.FILTER($M$2:$M$1000, ($A$2:$A$1000=$P6) * ($C$2:$C$1000=P$8))),2)</f>
        <v>1.04</v>
      </c>
      <c r="Q9" s="4" cm="1">
        <f t="array" ref="Q9">ROUND(AVERAGE(_xlfn._xlws.FILTER($M$2:$M$1000, ($A$2:$A$1000=$P6) * ($C$2:$C$1000=Q$8))),2)</f>
        <v>1.2</v>
      </c>
      <c r="R9" s="4" cm="1">
        <f t="array" ref="R9">ROUND(AVERAGE(_xlfn._xlws.FILTER($M$2:$M$1000, ($A$2:$A$1000=$P6) * ($C$2:$C$1000=R$8))),2)</f>
        <v>1.07</v>
      </c>
      <c r="T9" t="s">
        <v>382</v>
      </c>
      <c r="U9" s="4" cm="1">
        <f t="array" ref="U9">ROUND(AVERAGE(_xlfn._xlws.FILTER($M$2:$M$1000, ($A$2:$A$1000=$U6) * ($C$2:$C$1000=U$8) * (LEFT($D$2:$D$1000,10)=$U5))),2)</f>
        <v>1.01</v>
      </c>
      <c r="V9" s="4" cm="1">
        <f t="array" ref="V9">ROUND(AVERAGE(_xlfn._xlws.FILTER($M$2:$M$1000, ($A$2:$A$1000=$U6) * ($C$2:$C$1000=V$8) * (LEFT($D$2:$D$1000,10)=$U5))),2)</f>
        <v>1.25</v>
      </c>
      <c r="W9" s="4" cm="1">
        <f t="array" ref="W9">ROUND(AVERAGE(_xlfn._xlws.FILTER($M$2:$M$1000, ($A$2:$A$1000=$U6) * ($C$2:$C$1000=W$8) * (LEFT($D$2:$D$1000,10)=$U5))),2)</f>
        <v>1.03</v>
      </c>
      <c r="Y9" t="s">
        <v>382</v>
      </c>
      <c r="Z9" s="4" cm="1">
        <f t="array" ref="Z9">ROUND(AVERAGE(_xlfn._xlws.FILTER($M$2:$M$1000, ($A$2:$A$1000=$Z$6) * ($C$2:$C$1000=Z$8) * ($B$2:$B$1000&gt;=$Z$7) * ($B$2:$B$1000&lt;=$AB$7) * (LEFT($D$2:$D$1000,10)=$Z$5))),2)</f>
        <v>1.01</v>
      </c>
      <c r="AA9" s="4" cm="1">
        <f t="array" ref="AA9">ROUND(AVERAGE(_xlfn._xlws.FILTER($M$2:$M$1000, ($A$2:$A$1000=$Z$6) * ($C$2:$C$1000=AA$8) * ($B$2:$B$1000&gt;=$Z$7) * ($B$2:$B$1000&lt;=$AB$7) * (LEFT($D$2:$D$1000,10)=$Z$5))),2)</f>
        <v>1.3</v>
      </c>
      <c r="AB9" s="4" cm="1">
        <f t="array" ref="AB9">ROUND(AVERAGE(_xlfn._xlws.FILTER($M$2:$M$1000, ($A$2:$A$1000=$Z$6) * ($C$2:$C$1000=AB$8) * ($B$2:$B$1000&gt;=$Z$7) * ($B$2:$B$1000&lt;=$AB$7) * (LEFT($D$2:$D$1000,10)=$Z$5))),2)</f>
        <v>1.02</v>
      </c>
      <c r="AD9" t="s">
        <v>382</v>
      </c>
      <c r="AE9" s="4" cm="1">
        <f t="array" ref="AE9">ROUND(AVERAGE(_xlfn._xlws.FILTER($M$2:$M$1000, ($A$2:$A$1000=$AE6) * ($C$2:$C$1000=AE$8) * (LEFT($D$2:$D$1000,10)=$AE5))),2)</f>
        <v>1.06</v>
      </c>
      <c r="AF9" s="4" cm="1">
        <f t="array" ref="AF9">ROUND(AVERAGE(_xlfn._xlws.FILTER($M$2:$M$1000, ($A$2:$A$1000=$AE6) * ($C$2:$C$1000=AF$8) * (LEFT($D$2:$D$1000,10)=$AE5))),2)</f>
        <v>1.1499999999999999</v>
      </c>
      <c r="AG9" s="4" cm="1">
        <f t="array" ref="AG9">ROUND(AVERAGE(_xlfn._xlws.FILTER($M$2:$M$1000, ($A$2:$A$1000=$AE6) * ($C$2:$C$1000=AG$8) * (LEFT($D$2:$D$1000,10)=$AE5))),2)</f>
        <v>1.1200000000000001</v>
      </c>
      <c r="AI9" t="s">
        <v>382</v>
      </c>
      <c r="AJ9" s="4" cm="1">
        <f t="array" ref="AJ9">ROUND(AVERAGE(_xlfn._xlws.FILTER($M$2:$M$1000, ($A$2:$A$1000=$AJ$6) * ($C$2:$C$1000=AJ$8) * ($B$2:$B$1000&gt;=$AJ$7) * ($B$2:$B$1000&lt;=$AL$7) * (LEFT($D$2:$D$1000,10)=$AJ$5))),2)</f>
        <v>1.03</v>
      </c>
      <c r="AK9" s="4" cm="1">
        <f t="array" ref="AK9">ROUND(AVERAGE(_xlfn._xlws.FILTER($M$2:$M$1000, ($A$2:$A$1000=$AJ$6) * ($C$2:$C$1000=AK$8) * ($B$2:$B$1000&gt;=$AJ$7) * ($B$2:$B$1000&lt;=$AL$7) * (LEFT($D$2:$D$1000,10)=$AJ$5))),2)</f>
        <v>1.1100000000000001</v>
      </c>
      <c r="AL9" s="4" cm="1">
        <f t="array" ref="AL9">ROUND(AVERAGE(_xlfn._xlws.FILTER($M$2:$M$1000, ($A$2:$A$1000=$AJ$6) * ($C$2:$C$1000=AL$8) * ($B$2:$B$1000&gt;=$AJ$7) * ($B$2:$B$1000&lt;=$AL$7) * (LEFT($D$2:$D$1000,10)=$AJ$5))),2)</f>
        <v>1.1299999999999999</v>
      </c>
      <c r="AN9" s="23"/>
      <c r="AO9" s="23"/>
    </row>
    <row r="10" spans="1:41" x14ac:dyDescent="0.25">
      <c r="A10" t="s">
        <v>12</v>
      </c>
      <c r="B10">
        <v>9</v>
      </c>
      <c r="C10" t="s">
        <v>13</v>
      </c>
      <c r="D10" t="s">
        <v>338</v>
      </c>
      <c r="E10" t="s">
        <v>339</v>
      </c>
      <c r="F10" s="1">
        <v>1.3888888888888888E-5</v>
      </c>
      <c r="G10" t="s">
        <v>16</v>
      </c>
      <c r="H10">
        <v>5</v>
      </c>
      <c r="I10">
        <v>81</v>
      </c>
      <c r="J10">
        <v>86</v>
      </c>
      <c r="L10" t="s">
        <v>17</v>
      </c>
      <c r="M10" s="3">
        <f t="shared" si="0"/>
        <v>1.0180001612752676</v>
      </c>
      <c r="O10" t="s">
        <v>383</v>
      </c>
      <c r="P10" s="4" cm="1">
        <f t="array" ref="P10">ROUND(MEDIAN(IF(($A:$A=$P6)*($C:$C=P$8), $M:$M)),2)</f>
        <v>1.02</v>
      </c>
      <c r="Q10" s="4" cm="1">
        <f t="array" ref="Q10">ROUND(MEDIAN(IF(($A:$A=$P6)*($C:$C=Q$8), $M:$M)),2)</f>
        <v>1.07</v>
      </c>
      <c r="R10" s="4" cm="1">
        <f t="array" ref="R10">ROUND(MEDIAN(IF(($A:$A=$P6)*($C:$C=R$8), $M:$M)),2)</f>
        <v>1.04</v>
      </c>
      <c r="T10" t="s">
        <v>383</v>
      </c>
      <c r="U10" s="4" cm="1">
        <f t="array" ref="U10">ROUND(MEDIAN(_xlfn._xlws.FILTER($M$2:$M$1000, ($A$2:$A$1000=$U6) * ($C$2:$C$1000=U$8) * (LEFT($D$2:$D$1000,10)=$U5))),2)</f>
        <v>1.02</v>
      </c>
      <c r="V10" s="4" cm="1">
        <f t="array" ref="V10">ROUND(MEDIAN(_xlfn._xlws.FILTER($M$2:$M$1000, ($A$2:$A$1000=$U6) * ($C$2:$C$1000=V$8) * (LEFT($D$2:$D$1000,10)=$U5))),2)</f>
        <v>1.03</v>
      </c>
      <c r="W10" s="4" cm="1">
        <f t="array" ref="W10">ROUND(MEDIAN(_xlfn._xlws.FILTER($M$2:$M$1000, ($A$2:$A$1000=$U6) * ($C$2:$C$1000=W$8) * (LEFT($D$2:$D$1000,10)=$U5))),2)</f>
        <v>1.02</v>
      </c>
      <c r="Y10" t="s">
        <v>383</v>
      </c>
      <c r="Z10" s="4" cm="1">
        <f t="array" ref="Z10">ROUND(MEDIAN(_xlfn._xlws.FILTER($M$2:$M$1000, ($A$2:$A$1000=$Z6) * ($C$2:$C$1000=Z$8) *  ($B$2:$B$1000&gt;=$Z$7) * ($B$2:$B$1000&lt;=$AB$7) * (LEFT($D$2:$D$1000,10)=$Z5))),2)</f>
        <v>1.01</v>
      </c>
      <c r="AA10" s="4" cm="1">
        <f t="array" ref="AA10">ROUND(MEDIAN(_xlfn._xlws.FILTER($M$2:$M$1000, ($A$2:$A$1000=$Z6) * ($C$2:$C$1000=AA$8) *  ($B$2:$B$1000&gt;=$Z$7) * ($B$2:$B$1000&lt;=$AB$7) * (LEFT($D$2:$D$1000,10)=$Z5))),2)</f>
        <v>1.04</v>
      </c>
      <c r="AB10" s="4" cm="1">
        <f t="array" ref="AB10">ROUND(MEDIAN(_xlfn._xlws.FILTER($M$2:$M$1000, ($A$2:$A$1000=$Z6) * ($C$2:$C$1000=AB$8) *  ($B$2:$B$1000&gt;=$Z$7) * ($B$2:$B$1000&lt;=$AB$7) * (LEFT($D$2:$D$1000,10)=$Z5))),2)</f>
        <v>1.02</v>
      </c>
      <c r="AD10" t="s">
        <v>383</v>
      </c>
      <c r="AE10" s="4" cm="1">
        <f t="array" ref="AE10">ROUND(MEDIAN(_xlfn._xlws.FILTER($M$2:$M$1000, ($A$2:$A$1000=$AE6) * ($C$2:$C$1000=AE$8) * (LEFT($D$2:$D$1000,10)=$AE5))),2)</f>
        <v>1.05</v>
      </c>
      <c r="AF10" s="4" cm="1">
        <f t="array" ref="AF10">ROUND(MEDIAN(_xlfn._xlws.FILTER($M$2:$M$1000, ($A$2:$A$1000=$AE6) * ($C$2:$C$1000=AF$8) * (LEFT($D$2:$D$1000,10)=$AE5))),2)</f>
        <v>1.1100000000000001</v>
      </c>
      <c r="AG10" s="4" cm="1">
        <f t="array" ref="AG10">ROUND(MEDIAN(_xlfn._xlws.FILTER($M$2:$M$1000, ($A$2:$A$1000=$AE6) * ($C$2:$C$1000=AG$8) * (LEFT($D$2:$D$1000,10)=$AE5))),2)</f>
        <v>1.08</v>
      </c>
      <c r="AI10" t="s">
        <v>383</v>
      </c>
      <c r="AJ10" s="4" cm="1">
        <f t="array" ref="AJ10">ROUND(MEDIAN(_xlfn._xlws.FILTER($M$2:$M$1000, ($A$2:$A$1000=$AJ6) * ($C$2:$C$1000=AJ$8) *  ($B$2:$B$1000&gt;=$AJ$7) * ($B$2:$B$1000&lt;=$AL$7) * (LEFT($D$2:$D$1000,10)=$AJ5))),2)</f>
        <v>1.04</v>
      </c>
      <c r="AK10" s="4" cm="1">
        <f t="array" ref="AK10">ROUND(MEDIAN(_xlfn._xlws.FILTER($M$2:$M$1000, ($A$2:$A$1000=$AJ6) * ($C$2:$C$1000=AK$8) *  ($B$2:$B$1000&gt;=$AJ$7) * ($B$2:$B$1000&lt;=$AL$7) * (LEFT($D$2:$D$1000,10)=$AJ5))),2)</f>
        <v>1.1000000000000001</v>
      </c>
      <c r="AL10" s="4" cm="1">
        <f t="array" ref="AL10">ROUND(MEDIAN(_xlfn._xlws.FILTER($M$2:$M$1000, ($A$2:$A$1000=$AJ6) * ($C$2:$C$1000=AL$8) *  ($B$2:$B$1000&gt;=$AJ$7) * ($B$2:$B$1000&lt;=$AL$7) * (LEFT($D$2:$D$1000,10)=$AJ5))),2)</f>
        <v>1.08</v>
      </c>
    </row>
    <row r="11" spans="1:41" x14ac:dyDescent="0.25">
      <c r="A11" t="s">
        <v>12</v>
      </c>
      <c r="B11">
        <v>10</v>
      </c>
      <c r="C11" t="s">
        <v>13</v>
      </c>
      <c r="D11" t="s">
        <v>340</v>
      </c>
      <c r="E11" t="s">
        <v>341</v>
      </c>
      <c r="F11" s="1">
        <v>1.7361111111111111E-5</v>
      </c>
      <c r="G11" t="s">
        <v>16</v>
      </c>
      <c r="H11">
        <v>5</v>
      </c>
      <c r="I11">
        <v>81</v>
      </c>
      <c r="J11">
        <v>86</v>
      </c>
      <c r="L11" t="s">
        <v>17</v>
      </c>
      <c r="M11" s="3">
        <f t="shared" si="0"/>
        <v>1.0459999088197947</v>
      </c>
      <c r="O11" t="s">
        <v>631</v>
      </c>
      <c r="P11" s="19" cm="1">
        <f t="array" ref="P11">ROUND(_xlfn.QUARTILE.INC(IF(($A:$A=$P6)*($C:$C=P$8),$M:$M),1),2)</f>
        <v>1.01</v>
      </c>
      <c r="Q11" s="19" cm="1">
        <f t="array" ref="Q11">ROUND(_xlfn.QUARTILE.INC(IF(($A:$A=$P6)*($C:$C=Q$8),$M:$M),1),2)</f>
        <v>1.04</v>
      </c>
      <c r="R11" s="19" cm="1">
        <f t="array" ref="R11">ROUND(_xlfn.QUARTILE.INC(IF(($A:$A=$P6)*($C:$C=R$8),$M:$M),1),2)</f>
        <v>1.03</v>
      </c>
      <c r="T11" t="s">
        <v>631</v>
      </c>
      <c r="U11" s="4" cm="1">
        <f t="array" ref="U11">ROUND(_xlfn.QUARTILE.INC(_xlfn._xlws.FILTER($M$2:$M$1000, ($A$2:$A$1000=$U6) * ($C$2:$C$1000=U$8) * (LEFT($D$2:$D$1000,10)=$U5)), 1),2)</f>
        <v>0.99</v>
      </c>
      <c r="V11" s="4" cm="1">
        <f t="array" ref="V11">ROUND(_xlfn.QUARTILE.INC(_xlfn._xlws.FILTER($M$2:$M$1000, ($A$2:$A$1000=$U6) * ($C$2:$C$1000=V$8) * (LEFT($D$2:$D$1000,10)=$U5)), 1),2)</f>
        <v>1.01</v>
      </c>
      <c r="W11" s="4" cm="1">
        <f t="array" ref="W11">ROUND(_xlfn.QUARTILE.INC(_xlfn._xlws.FILTER($M$2:$M$1000, ($A$2:$A$1000=$U6) * ($C$2:$C$1000=W$8) * (LEFT($D$2:$D$1000,10)=$U5)), 1),2)</f>
        <v>1.02</v>
      </c>
      <c r="Y11" t="s">
        <v>631</v>
      </c>
      <c r="Z11" s="4" cm="1">
        <f t="array" ref="Z11">ROUND(_xlfn.QUARTILE.INC(_xlfn._xlws.FILTER($M$2:$M$1000, ($A$2:$A$1000=$Z6) * ($C$2:$C$1000=Z$8) *  ($B$2:$B$1000&gt;=$Z$7) * ($B$2:$B$1000&lt;=$AB$7) * (LEFT($D$2:$D$1000,10)=$Z5)), 1),2)</f>
        <v>0.98</v>
      </c>
      <c r="AA11" s="4" cm="1">
        <f t="array" ref="AA11">ROUND(_xlfn.QUARTILE.INC(_xlfn._xlws.FILTER($M$2:$M$1000, ($A$2:$A$1000=$Z6) * ($C$2:$C$1000=AA$8) *  ($B$2:$B$1000&gt;=$Z$7) * ($B$2:$B$1000&lt;=$AB$7) * (LEFT($D$2:$D$1000,10)=$Z5)), 1),2)</f>
        <v>1.02</v>
      </c>
      <c r="AB11" s="4" cm="1">
        <f t="array" ref="AB11">ROUND(_xlfn.QUARTILE.INC(_xlfn._xlws.FILTER($M$2:$M$1000, ($A$2:$A$1000=$Z6) * ($C$2:$C$1000=AB$8) *  ($B$2:$B$1000&gt;=$Z$7) * ($B$2:$B$1000&lt;=$AB$7) * (LEFT($D$2:$D$1000,10)=$Z5)), 1),2)</f>
        <v>1.01</v>
      </c>
      <c r="AD11" t="s">
        <v>631</v>
      </c>
      <c r="AE11" s="4" cm="1">
        <f t="array" ref="AE11">ROUND(_xlfn.QUARTILE.INC(_xlfn._xlws.FILTER($M$2:$M$1000, ($A$2:$A$1000=$AE6) * ($C$2:$C$1000=AE$8) * (LEFT($D$2:$D$1000,10)=$AE5)), 1),2)</f>
        <v>1.02</v>
      </c>
      <c r="AF11" s="4" cm="1">
        <f t="array" ref="AF11">ROUND(_xlfn.QUARTILE.INC(_xlfn._xlws.FILTER($M$2:$M$1000, ($A$2:$A$1000=$AE6) * ($C$2:$C$1000=AF$8) * (LEFT($D$2:$D$1000,10)=$AE5)), 1),2)</f>
        <v>1.07</v>
      </c>
      <c r="AG11" s="4" cm="1">
        <f t="array" ref="AG11">ROUND(_xlfn.QUARTILE.INC(_xlfn._xlws.FILTER($M$2:$M$1000, ($A$2:$A$1000=$AE6) * ($C$2:$C$1000=AG$8) * (LEFT($D$2:$D$1000,10)=$AE5)), 1),2)</f>
        <v>1.04</v>
      </c>
      <c r="AI11" t="s">
        <v>631</v>
      </c>
      <c r="AJ11" s="4" cm="1">
        <f t="array" ref="AJ11">ROUND(_xlfn.QUARTILE.INC(_xlfn._xlws.FILTER($M$2:$M$1000, ($A$2:$A$1000=$AJ6) * ($C$2:$C$1000=AJ$8) *  ($B$2:$B$1000&gt;=$AJ$7) * ($B$2:$B$1000&lt;=$AL$7) * (LEFT($D$2:$D$1000,10)=$AJ5)), 1),2)</f>
        <v>1.01</v>
      </c>
      <c r="AK11" s="4" cm="1">
        <f t="array" ref="AK11">ROUND(_xlfn.QUARTILE.INC(_xlfn._xlws.FILTER($M$2:$M$1000, ($A$2:$A$1000=$AJ6) * ($C$2:$C$1000=AK$8) *  ($B$2:$B$1000&gt;=$AJ$7) * ($B$2:$B$1000&lt;=$AL$7) * (LEFT($D$2:$D$1000,10)=$AJ5)), 1),2)</f>
        <v>1.06</v>
      </c>
      <c r="AL11" s="4" cm="1">
        <f t="array" ref="AL11">ROUND(_xlfn.QUARTILE.INC(_xlfn._xlws.FILTER($M$2:$M$1000, ($A$2:$A$1000=$AJ6) * ($C$2:$C$1000=AL$8) *  ($B$2:$B$1000&gt;=$AJ$7) * ($B$2:$B$1000&lt;=$AL$7) * (LEFT($D$2:$D$1000,10)=$AJ5)), 1),2)</f>
        <v>1.05</v>
      </c>
    </row>
    <row r="12" spans="1:41" x14ac:dyDescent="0.25">
      <c r="A12" t="s">
        <v>12</v>
      </c>
      <c r="B12">
        <v>1</v>
      </c>
      <c r="C12" t="s">
        <v>36</v>
      </c>
      <c r="D12" t="s">
        <v>342</v>
      </c>
      <c r="E12" t="s">
        <v>343</v>
      </c>
      <c r="F12" s="1">
        <v>1.2731481481481482E-5</v>
      </c>
      <c r="G12" t="s">
        <v>16</v>
      </c>
      <c r="H12">
        <v>5</v>
      </c>
      <c r="I12">
        <v>173</v>
      </c>
      <c r="J12">
        <v>178</v>
      </c>
      <c r="L12" t="s">
        <v>17</v>
      </c>
      <c r="M12" s="3">
        <f t="shared" si="0"/>
        <v>1.0120003949850798</v>
      </c>
      <c r="O12" t="s">
        <v>632</v>
      </c>
      <c r="P12" s="19" cm="1">
        <f t="array" ref="P12">ROUND(_xlfn.QUARTILE.INC(IF(($A:$A=$P6)*($C:$C=P$8),$M:$M),3),2)</f>
        <v>1.05</v>
      </c>
      <c r="Q12" s="19" cm="1">
        <f t="array" ref="Q12">ROUND(_xlfn.QUARTILE.INC(IF(($A:$A=$P6)*($C:$C=Q$8),$M:$M),3),2)</f>
        <v>1.1399999999999999</v>
      </c>
      <c r="R12" s="19" cm="1">
        <f t="array" ref="R12">ROUND(_xlfn.QUARTILE.INC(IF(($A:$A=$P6)*($C:$C=R$8),$M:$M),3),2)</f>
        <v>1.07</v>
      </c>
      <c r="T12" t="s">
        <v>632</v>
      </c>
      <c r="U12" s="4" cm="1">
        <f t="array" ref="U12">ROUND(_xlfn.QUARTILE.INC(_xlfn._xlws.FILTER($M$2:$M$1000, ($A$2:$A$1000=$U6) * ($C$2:$C$1000=U$8) * (LEFT($D$2:$D$1000,10)=$U5)), 3),2)</f>
        <v>1.03</v>
      </c>
      <c r="V12" s="4" cm="1">
        <f t="array" ref="V12">ROUND(_xlfn.QUARTILE.INC(_xlfn._xlws.FILTER($M$2:$M$1000, ($A$2:$A$1000=$U6) * ($C$2:$C$1000=V$8) * (LEFT($D$2:$D$1000,10)=$U5)), 3),2)</f>
        <v>1.06</v>
      </c>
      <c r="W12" s="4" cm="1">
        <f t="array" ref="W12">ROUND(_xlfn.QUARTILE.INC(_xlfn._xlws.FILTER($M$2:$M$1000, ($A$2:$A$1000=$U6) * ($C$2:$C$1000=W$8) * (LEFT($D$2:$D$1000,10)=$U5)), 3),2)</f>
        <v>1.04</v>
      </c>
      <c r="Y12" t="s">
        <v>632</v>
      </c>
      <c r="Z12" s="4" cm="1">
        <f t="array" ref="Z12">ROUND(_xlfn.QUARTILE.INC(_xlfn._xlws.FILTER($M$2:$M$1000, ($A$2:$A$1000=$Z6) * ($C$2:$C$1000=Z$8) *  ($B$2:$B$1000&gt;=$Z$7) * ($B$2:$B$1000&lt;=$AB$7) * (LEFT($D$2:$D$1000,10)=$Z5)), 3),2)</f>
        <v>1.02</v>
      </c>
      <c r="AA12" s="4" cm="1">
        <f t="array" ref="AA12">ROUND(_xlfn.QUARTILE.INC(_xlfn._xlws.FILTER($M$2:$M$1000, ($A$2:$A$1000=$Z6) * ($C$2:$C$1000=AA$8) *  ($B$2:$B$1000&gt;=$Z$7) * ($B$2:$B$1000&lt;=$AB$7) * (LEFT($D$2:$D$1000,10)=$Z5)), 3),2)</f>
        <v>1.0900000000000001</v>
      </c>
      <c r="AB12" s="4" cm="1">
        <f t="array" ref="AB12">ROUND(_xlfn.QUARTILE.INC(_xlfn._xlws.FILTER($M$2:$M$1000, ($A$2:$A$1000=$Z6) * ($C$2:$C$1000=AB$8) *  ($B$2:$B$1000&gt;=$Z$7) * ($B$2:$B$1000&lt;=$AB$7) * (LEFT($D$2:$D$1000,10)=$Z5)), 3),2)</f>
        <v>1.03</v>
      </c>
      <c r="AD12" t="s">
        <v>632</v>
      </c>
      <c r="AE12" s="4" cm="1">
        <f t="array" ref="AE12">ROUND(_xlfn.QUARTILE.INC(_xlfn._xlws.FILTER($M$2:$M$1000, ($A$2:$A$1000=$AE6) * ($C$2:$C$1000=AE$8) * (LEFT($D$2:$D$1000,10)=$AE5)), 3),2)</f>
        <v>1.05</v>
      </c>
      <c r="AF12" s="4" cm="1">
        <f t="array" ref="AF12">ROUND(_xlfn.QUARTILE.INC(_xlfn._xlws.FILTER($M$2:$M$1000, ($A$2:$A$1000=$AE6) * ($C$2:$C$1000=AF$8) * (LEFT($D$2:$D$1000,10)=$AE5)), 3),2)</f>
        <v>1.22</v>
      </c>
      <c r="AG12" s="4" cm="1">
        <f t="array" ref="AG12">ROUND(_xlfn.QUARTILE.INC(_xlfn._xlws.FILTER($M$2:$M$1000, ($A$2:$A$1000=$AE6) * ($C$2:$C$1000=AG$8) * (LEFT($D$2:$D$1000,10)=$AE5)), 3),2)</f>
        <v>1.1200000000000001</v>
      </c>
      <c r="AI12" t="s">
        <v>632</v>
      </c>
      <c r="AJ12" s="4" cm="1">
        <f t="array" ref="AJ12">ROUND(_xlfn.QUARTILE.INC(_xlfn._xlws.FILTER($M$2:$M$1000, ($A$2:$A$1000=$AJ6) * ($C$2:$C$1000=AJ$8) *  ($B$2:$B$1000&gt;=$AJ$7) * ($B$2:$B$1000&lt;=$AL$7) * (LEFT($D$2:$D$1000,10)=$AJ5)), 3),2)</f>
        <v>1.05</v>
      </c>
      <c r="AK12" s="4" cm="1">
        <f t="array" ref="AK12">ROUND(_xlfn.QUARTILE.INC(_xlfn._xlws.FILTER($M$2:$M$1000, ($A$2:$A$1000=$AJ6) * ($C$2:$C$1000=AK$8) *  ($B$2:$B$1000&gt;=$AJ$7) * ($B$2:$B$1000&lt;=$AL$7) * (LEFT($D$2:$D$1000,10)=$AJ5)), 3),2)</f>
        <v>1.1200000000000001</v>
      </c>
      <c r="AL12" s="4" cm="1">
        <f t="array" ref="AL12">ROUND(_xlfn.QUARTILE.INC(_xlfn._xlws.FILTER($M$2:$M$1000, ($A$2:$A$1000=$AJ6) * ($C$2:$C$1000=AL$8) *  ($B$2:$B$1000&gt;=$AJ$7) * ($B$2:$B$1000&lt;=$AL$7) * (LEFT($D$2:$D$1000,10)=$AJ5)), 3),2)</f>
        <v>1.1200000000000001</v>
      </c>
    </row>
    <row r="13" spans="1:41" x14ac:dyDescent="0.25">
      <c r="A13" t="s">
        <v>12</v>
      </c>
      <c r="B13">
        <v>2</v>
      </c>
      <c r="C13" t="s">
        <v>36</v>
      </c>
      <c r="D13" t="s">
        <v>344</v>
      </c>
      <c r="E13" t="s">
        <v>345</v>
      </c>
      <c r="F13" s="1">
        <v>1.3888888888888888E-5</v>
      </c>
      <c r="G13" t="s">
        <v>16</v>
      </c>
      <c r="H13">
        <v>5</v>
      </c>
      <c r="I13">
        <v>173</v>
      </c>
      <c r="J13">
        <v>178</v>
      </c>
      <c r="L13" t="s">
        <v>17</v>
      </c>
      <c r="M13" s="3">
        <f t="shared" si="0"/>
        <v>1.1659996351227164</v>
      </c>
      <c r="O13" t="s">
        <v>664</v>
      </c>
      <c r="P13" s="4">
        <f>ROUND(_xlfn.MINIFS($M:$M, $A:$A, $P6, $C:$C, P$8),2)</f>
        <v>0.96</v>
      </c>
      <c r="Q13" s="4">
        <f>ROUND(_xlfn.MINIFS($M:$M, $A:$A, $P6, $C:$C, Q$8),2)</f>
        <v>1.01</v>
      </c>
      <c r="R13" s="4">
        <f>ROUND(_xlfn.MINIFS($M:$M, $A:$A, $P6, $C:$C, R$8),2)</f>
        <v>0.98</v>
      </c>
      <c r="T13" t="s">
        <v>633</v>
      </c>
      <c r="U13" s="4" cm="1">
        <f t="array" ref="U13">ROUND(MIN(_xlfn._xlws.FILTER($M$2:$M$1000, ($A$2:$A$1000=$U6) * ($C$2:$C$1000=U$8) * (LEFT($D$2:$D$1000,10)=$U5))),2)</f>
        <v>0.96</v>
      </c>
      <c r="V13" s="4" cm="1">
        <f t="array" ref="V13">ROUND(MIN(_xlfn._xlws.FILTER($M$2:$M$1000, ($A$2:$A$1000=$U6) * ($C$2:$C$1000=V$8) * (LEFT($D$2:$D$1000,10)=$U5))),2)</f>
        <v>1.01</v>
      </c>
      <c r="W13" s="4" cm="1">
        <f t="array" ref="W13">ROUND(MIN(_xlfn._xlws.FILTER($M$2:$M$1000, ($A$2:$A$1000=$U6) * ($C$2:$C$1000=W$8) * (LEFT($D$2:$D$1000,10)=$U5))),2)</f>
        <v>0.98</v>
      </c>
      <c r="Y13" t="s">
        <v>633</v>
      </c>
      <c r="Z13" s="4" cm="1">
        <f t="array" ref="Z13">ROUND(MIN(_xlfn._xlws.FILTER($M$2:$M$1000, ($A$2:$A$1000=$Z6) * ($C$2:$C$1000=Z$8) *  ($B$2:$B$1000&gt;=$Z$7) * ($B$2:$B$1000&lt;=$AB$7) * (LEFT($D$2:$D$1000,10)=$Z5))),2)</f>
        <v>0.96</v>
      </c>
      <c r="AA13" s="4" cm="1">
        <f t="array" ref="AA13">ROUND(MIN(_xlfn._xlws.FILTER($M$2:$M$1000, ($A$2:$A$1000=$Z6) * ($C$2:$C$1000=AA$8) *  ($B$2:$B$1000&gt;=$Z$7) * ($B$2:$B$1000&lt;=$AB$7) * (LEFT($D$2:$D$1000,10)=$Z5))),2)</f>
        <v>1.01</v>
      </c>
      <c r="AB13" s="4" cm="1">
        <f t="array" ref="AB13">ROUND(MIN(_xlfn._xlws.FILTER($M$2:$M$1000, ($A$2:$A$1000=$Z6) * ($C$2:$C$1000=AB$8) *  ($B$2:$B$1000&gt;=$Z$7) * ($B$2:$B$1000&lt;=$AB$7) * (LEFT($D$2:$D$1000,10)=$Z5))),2)</f>
        <v>0.98</v>
      </c>
      <c r="AD13" t="s">
        <v>633</v>
      </c>
      <c r="AE13" s="4" cm="1">
        <f t="array" ref="AE13">ROUND(MIN(_xlfn._xlws.FILTER($M$2:$M$1000, ($A$2:$A$1000=$AE6) * ($C$2:$C$1000=AE$8) * (LEFT($D$2:$D$1000,10)=$AE5))),2)</f>
        <v>1</v>
      </c>
      <c r="AF13" s="4" cm="1">
        <f t="array" ref="AF13">ROUND(MIN(_xlfn._xlws.FILTER($M$2:$M$1000, ($A$2:$A$1000=$AE6) * ($C$2:$C$1000=AF$8) * (LEFT($D$2:$D$1000,10)=$AE5))),2)</f>
        <v>1.06</v>
      </c>
      <c r="AG13" s="4" cm="1">
        <f t="array" ref="AG13">ROUND(MIN(_xlfn._xlws.FILTER($M$2:$M$1000, ($A$2:$A$1000=$AE6) * ($C$2:$C$1000=AG$8) * (LEFT($D$2:$D$1000,10)=$AE5))),2)</f>
        <v>1.04</v>
      </c>
      <c r="AI13" t="s">
        <v>633</v>
      </c>
      <c r="AJ13" s="4" cm="1">
        <f t="array" ref="AJ13">ROUND(MIN(_xlfn._xlws.FILTER($M$2:$M$1000, ($A$2:$A$1000=$AJ6) * ($C$2:$C$1000=AJ$8) *  ($B$2:$B$1000&gt;=$AJ$7) * ($B$2:$B$1000&lt;=$AL$7) * (LEFT($D$2:$D$1000,10)=$AJ5))),2)</f>
        <v>1</v>
      </c>
      <c r="AK13" s="4" cm="1">
        <f t="array" ref="AK13">ROUND(MIN(_xlfn._xlws.FILTER($M$2:$M$1000, ($A$2:$A$1000=$AJ6) * ($C$2:$C$1000=AK$8) *  ($B$2:$B$1000&gt;=$AJ$7) * ($B$2:$B$1000&lt;=$AL$7) * (LEFT($D$2:$D$1000,10)=$AJ5))),2)</f>
        <v>1.06</v>
      </c>
      <c r="AL13" s="4" cm="1">
        <f t="array" ref="AL13">ROUND(MIN(_xlfn._xlws.FILTER($M$2:$M$1000, ($A$2:$A$1000=$AJ6) * ($C$2:$C$1000=AL$8) *  ($B$2:$B$1000&gt;=$AJ$7) * ($B$2:$B$1000&lt;=$AL$7) * (LEFT($D$2:$D$1000,10)=$AJ5))),2)</f>
        <v>1.04</v>
      </c>
    </row>
    <row r="14" spans="1:41" x14ac:dyDescent="0.25">
      <c r="A14" t="s">
        <v>12</v>
      </c>
      <c r="B14">
        <v>3</v>
      </c>
      <c r="C14" t="s">
        <v>36</v>
      </c>
      <c r="D14" t="s">
        <v>346</v>
      </c>
      <c r="E14" t="s">
        <v>347</v>
      </c>
      <c r="F14" s="1">
        <v>1.6203703703703704E-5</v>
      </c>
      <c r="G14" t="s">
        <v>16</v>
      </c>
      <c r="H14">
        <v>5</v>
      </c>
      <c r="I14">
        <v>173</v>
      </c>
      <c r="J14">
        <v>178</v>
      </c>
      <c r="L14" t="s">
        <v>17</v>
      </c>
      <c r="M14" s="3">
        <f t="shared" si="0"/>
        <v>1.0430000256747007</v>
      </c>
      <c r="O14" t="s">
        <v>665</v>
      </c>
      <c r="P14" s="4">
        <f>ROUND(_xlfn.MAXIFS($M:$M, $A:$A, $P6, $C:$C, P$8),2)</f>
        <v>1.26</v>
      </c>
      <c r="Q14" s="4">
        <f>ROUND(_xlfn.MAXIFS($M:$M, $A:$A, $P6, $C:$C, Q$8),2)</f>
        <v>3.08</v>
      </c>
      <c r="R14" s="4">
        <f>ROUND(_xlfn.MAXIFS($M:$M, $A:$A, $P6, $C:$C, R$8),2)</f>
        <v>1.52</v>
      </c>
      <c r="T14" t="s">
        <v>634</v>
      </c>
      <c r="U14" s="4" cm="1">
        <f t="array" ref="U14">ROUND(MAX(_xlfn._xlws.FILTER($M$2:$M$1000, ($A$2:$A$1000=$U6) * ($C$2:$C$1000=U$8) * (LEFT($D$2:$D$1000,10)=$U5))),2)</f>
        <v>1.08</v>
      </c>
      <c r="V14" s="4" cm="1">
        <f t="array" ref="V14">ROUND(MAX(_xlfn._xlws.FILTER($M$2:$M$1000, ($A$2:$A$1000=$U6) * ($C$2:$C$1000=V$8) * (LEFT($D$2:$D$1000,10)=$U5))),2)</f>
        <v>3.08</v>
      </c>
      <c r="W14" s="4" cm="1">
        <f t="array" ref="W14">ROUND(MAX(_xlfn._xlws.FILTER($M$2:$M$1000, ($A$2:$A$1000=$U6) * ($C$2:$C$1000=W$8) * (LEFT($D$2:$D$1000,10)=$U5))),2)</f>
        <v>1.07</v>
      </c>
      <c r="Y14" t="s">
        <v>634</v>
      </c>
      <c r="Z14" s="4" cm="1">
        <f t="array" ref="Z14">ROUND(MAX(_xlfn._xlws.FILTER($M$2:$M$1000, ($A$2:$A$1000=$Z6) * ($C$2:$C$1000=Z$8) *  ($B$2:$B$1000&gt;=$Z$7) * ($B$2:$B$1000&lt;=$AB$7) * (LEFT($D$2:$D$1000,10)=$Z5))),2)</f>
        <v>1.08</v>
      </c>
      <c r="AA14" s="4" cm="1">
        <f t="array" ref="AA14">ROUND(MAX(_xlfn._xlws.FILTER($M$2:$M$1000, ($A$2:$A$1000=$Z6) * ($C$2:$C$1000=AA$8) *  ($B$2:$B$1000&gt;=$Z$7) * ($B$2:$B$1000&lt;=$AB$7) * (LEFT($D$2:$D$1000,10)=$Z5))),2)</f>
        <v>3.08</v>
      </c>
      <c r="AB14" s="4" cm="1">
        <f t="array" ref="AB14">ROUND(MAX(_xlfn._xlws.FILTER($M$2:$M$1000, ($A$2:$A$1000=$Z6) * ($C$2:$C$1000=AB$8) *  ($B$2:$B$1000&gt;=$Z$7) * ($B$2:$B$1000&lt;=$AB$7) * (LEFT($D$2:$D$1000,10)=$Z5))),2)</f>
        <v>1.04</v>
      </c>
      <c r="AD14" t="s">
        <v>634</v>
      </c>
      <c r="AE14" s="4" cm="1">
        <f t="array" ref="AE14">ROUND(MAX(_xlfn._xlws.FILTER($M$2:$M$1000, ($A$2:$A$1000=$AE6) * ($C$2:$C$1000=AE$8) * (LEFT($D$2:$D$1000,10)=$AE5))),2)</f>
        <v>1.26</v>
      </c>
      <c r="AF14" s="4" cm="1">
        <f t="array" ref="AF14">ROUND(MAX(_xlfn._xlws.FILTER($M$2:$M$1000, ($A$2:$A$1000=$AE6) * ($C$2:$C$1000=AF$8) * (LEFT($D$2:$D$1000,10)=$AE5))),2)</f>
        <v>1.32</v>
      </c>
      <c r="AG14" s="4" cm="1">
        <f t="array" ref="AG14">ROUND(MAX(_xlfn._xlws.FILTER($M$2:$M$1000, ($A$2:$A$1000=$AE6) * ($C$2:$C$1000=AG$8) * (LEFT($D$2:$D$1000,10)=$AE5))),2)</f>
        <v>1.52</v>
      </c>
      <c r="AI14" t="s">
        <v>634</v>
      </c>
      <c r="AJ14" s="4" cm="1">
        <f t="array" ref="AJ14">ROUND(MAX(_xlfn._xlws.FILTER($M$2:$M$1000, ($A$2:$A$1000=$AJ6) * ($C$2:$C$1000=AJ$8) *  ($B$2:$B$1000&gt;=$AJ$7) * ($B$2:$B$1000&lt;=$AL$7) * (LEFT($D$2:$D$1000,10)=$AJ5))),2)</f>
        <v>1.06</v>
      </c>
      <c r="AK14" s="4" cm="1">
        <f t="array" ref="AK14">ROUND(MAX(_xlfn._xlws.FILTER($M$2:$M$1000, ($A$2:$A$1000=$AJ6) * ($C$2:$C$1000=AK$8) *  ($B$2:$B$1000&gt;=$AJ$7) * ($B$2:$B$1000&lt;=$AL$7) * (LEFT($D$2:$D$1000,10)=$AJ5))),2)</f>
        <v>1.27</v>
      </c>
      <c r="AL14" s="4" cm="1">
        <f t="array" ref="AL14">ROUND(MAX(_xlfn._xlws.FILTER($M$2:$M$1000, ($A$2:$A$1000=$AJ6) * ($C$2:$C$1000=AL$8) *  ($B$2:$B$1000&gt;=$AJ$7) * ($B$2:$B$1000&lt;=$AL$7) * (LEFT($D$2:$D$1000,10)=$AJ5))),2)</f>
        <v>1.52</v>
      </c>
    </row>
    <row r="15" spans="1:41" x14ac:dyDescent="0.25">
      <c r="A15" t="s">
        <v>12</v>
      </c>
      <c r="B15">
        <v>4</v>
      </c>
      <c r="C15" t="s">
        <v>36</v>
      </c>
      <c r="D15" t="s">
        <v>348</v>
      </c>
      <c r="E15" t="s">
        <v>349</v>
      </c>
      <c r="F15" s="1">
        <v>1.2731481481481482E-5</v>
      </c>
      <c r="G15" t="s">
        <v>16</v>
      </c>
      <c r="H15">
        <v>5</v>
      </c>
      <c r="I15">
        <v>173</v>
      </c>
      <c r="J15">
        <v>178</v>
      </c>
      <c r="L15" t="s">
        <v>17</v>
      </c>
      <c r="M15" s="3">
        <f t="shared" si="0"/>
        <v>1.0100000537931919</v>
      </c>
      <c r="O15" t="s">
        <v>663</v>
      </c>
      <c r="P15" s="4" cm="1">
        <f t="array" ref="P15">ROUND(_xlfn.STDEV.S(IF(($A:$A=$P6)*($C:$C=P$8), $M:$M)),2)</f>
        <v>0.06</v>
      </c>
      <c r="Q15" s="4" cm="1">
        <f t="array" ref="Q15">ROUND(_xlfn.STDEV.S(IF(($A:$A=$P6)*($C:$C=Q$8), $M:$M)),2)</f>
        <v>0.45</v>
      </c>
      <c r="R15" s="4" cm="1">
        <f t="array" ref="R15">ROUND(_xlfn.STDEV.S(IF(($A:$A=$P6)*($C:$C=R$8), $M:$M)),2)</f>
        <v>0.11</v>
      </c>
      <c r="T15" t="s">
        <v>663</v>
      </c>
      <c r="U15" s="4" cm="1">
        <f t="array" ref="U15">ROUND(_xlfn.STDEV.P(_xlfn._xlws.FILTER($M$2:$M$1000, ($A$2:$A$1000=$U6) * ($C$2:$C$1000=U$8) * (LEFT($D$2:$D$1000,10)=$U5))),2)</f>
        <v>0.03</v>
      </c>
      <c r="V15" s="4" cm="1">
        <f t="array" ref="V15">ROUND(_xlfn.STDEV.P(_xlfn._xlws.FILTER($M$2:$M$1000, ($A$2:$A$1000=$U6) * ($C$2:$C$1000=V$8) * (LEFT($D$2:$D$1000,10)=$U5))),2)</f>
        <v>0.61</v>
      </c>
      <c r="W15" s="4" cm="1">
        <f t="array" ref="W15">ROUND(_xlfn.STDEV.P(_xlfn._xlws.FILTER($M$2:$M$1000, ($A$2:$A$1000=$U6) * ($C$2:$C$1000=W$8) * (LEFT($D$2:$D$1000,10)=$U5))),2)</f>
        <v>0.02</v>
      </c>
      <c r="Y15" t="s">
        <v>663</v>
      </c>
      <c r="Z15" s="4" cm="1">
        <f t="array" ref="Z15">ROUND(_xlfn.STDEV.P(_xlfn._xlws.FILTER($M$2:$M$1000, ($A$2:$A$1000=$Z6) * ($C$2:$C$1000=Z$8) *  ($B$2:$B$1000&gt;=$Z$7) * ($B$2:$B$1000&lt;=$AB$7) * (LEFT($D$2:$D$1000,10)=$Z5))),2)</f>
        <v>0.03</v>
      </c>
      <c r="AA15" s="4" cm="1">
        <f t="array" ref="AA15">ROUND(_xlfn.STDEV.P(_xlfn._xlws.FILTER($M$2:$M$1000, ($A$2:$A$1000=$Z6) * ($C$2:$C$1000=AA$8) *  ($B$2:$B$1000&gt;=$Z$7) * ($B$2:$B$1000&lt;=$AB$7) * (LEFT($D$2:$D$1000,10)=$Z5))),2)</f>
        <v>0.67</v>
      </c>
      <c r="AB15" s="4" cm="1">
        <f t="array" ref="AB15">ROUND(_xlfn.STDEV.P(_xlfn._xlws.FILTER($M$2:$M$1000, ($A$2:$A$1000=$Z6) * ($C$2:$C$1000=AB$8) *  ($B$2:$B$1000&gt;=$Z$7) * ($B$2:$B$1000&lt;=$AB$7) * (LEFT($D$2:$D$1000,10)=$Z5))),2)</f>
        <v>0.02</v>
      </c>
      <c r="AD15" t="s">
        <v>663</v>
      </c>
      <c r="AE15" s="4" cm="1">
        <f t="array" ref="AE15">ROUND(_xlfn.STDEV.P(_xlfn._xlws.FILTER($M$2:$M$1000, ($A$2:$A$1000=$AE6) * ($C$2:$C$1000=AE$8) * (LEFT($D$2:$D$1000,10)=$AE5))),2)</f>
        <v>7.0000000000000007E-2</v>
      </c>
      <c r="AF15" s="4" cm="1">
        <f t="array" ref="AF15">ROUND(_xlfn.STDEV.P(_xlfn._xlws.FILTER($M$2:$M$1000, ($A$2:$A$1000=$AE6) * ($C$2:$C$1000=AF$8) * (LEFT($D$2:$D$1000,10)=$AE5))),2)</f>
        <v>0.09</v>
      </c>
      <c r="AG15" s="4" cm="1">
        <f t="array" ref="AG15">ROUND(_xlfn.STDEV.P(_xlfn._xlws.FILTER($M$2:$M$1000, ($A$2:$A$1000=$AE6) * ($C$2:$C$1000=AG$8) * (LEFT($D$2:$D$1000,10)=$AE5))),2)</f>
        <v>0.14000000000000001</v>
      </c>
      <c r="AI15" t="s">
        <v>663</v>
      </c>
      <c r="AJ15" s="4" cm="1">
        <f t="array" ref="AJ15">ROUND(_xlfn.STDEV.P(_xlfn._xlws.FILTER($M$2:$M$1000, ($A$2:$A$1000=$AJ6) * ($C$2:$C$1000=AJ$8) *  ($B$2:$B$1000&gt;=$AJ$7) * ($B$2:$B$1000&lt;=$AL$7) * (LEFT($D$2:$D$1000,10)=$AJ5))),2)</f>
        <v>0.02</v>
      </c>
      <c r="AK15" s="4" cm="1">
        <f t="array" ref="AK15">ROUND(_xlfn.STDEV.P(_xlfn._xlws.FILTER($M$2:$M$1000, ($A$2:$A$1000=$AJ6) * ($C$2:$C$1000=AK$8) *  ($B$2:$B$1000&gt;=$AJ$7) * ($B$2:$B$1000&lt;=$AL$7) * (LEFT($D$2:$D$1000,10)=$AJ5))),2)</f>
        <v>0.06</v>
      </c>
      <c r="AL15" s="4" cm="1">
        <f t="array" ref="AL15">ROUND(_xlfn.STDEV.P(_xlfn._xlws.FILTER($M$2:$M$1000, ($A$2:$A$1000=$AJ6) * ($C$2:$C$1000=AL$8) *  ($B$2:$B$1000&gt;=$AJ$7) * ($B$2:$B$1000&lt;=$AL$7) * (LEFT($D$2:$D$1000,10)=$AJ5))),2)</f>
        <v>0.15</v>
      </c>
    </row>
    <row r="16" spans="1:41" x14ac:dyDescent="0.25">
      <c r="A16" t="s">
        <v>12</v>
      </c>
      <c r="B16">
        <v>5</v>
      </c>
      <c r="C16" t="s">
        <v>36</v>
      </c>
      <c r="D16" t="s">
        <v>350</v>
      </c>
      <c r="E16" t="s">
        <v>351</v>
      </c>
      <c r="F16" s="1">
        <v>1.6203703703703704E-5</v>
      </c>
      <c r="G16" t="s">
        <v>16</v>
      </c>
      <c r="H16">
        <v>5</v>
      </c>
      <c r="I16">
        <v>173</v>
      </c>
      <c r="J16">
        <v>178</v>
      </c>
      <c r="L16" t="s">
        <v>17</v>
      </c>
      <c r="M16" s="3">
        <f t="shared" si="0"/>
        <v>1.0430000256747007</v>
      </c>
      <c r="O16" t="s">
        <v>384</v>
      </c>
      <c r="P16" s="4" cm="1">
        <f t="array" ref="P16">ROUND(_xlfn.PERCENTILE.INC(IF(($A:$A=$P6)*($C:$C=P$8), $M:$M), 0.9),2)</f>
        <v>1.06</v>
      </c>
      <c r="Q16" s="4" cm="1">
        <f t="array" ref="Q16">ROUND(_xlfn.PERCENTILE.INC(IF(($A:$A=$P6)*($C:$C=Q$8), $M:$M), 0.9),2)</f>
        <v>1.27</v>
      </c>
      <c r="R16" s="4" cm="1">
        <f t="array" ref="R16">ROUND(_xlfn.PERCENTILE.INC(IF(($A:$A=$P6)*($C:$C=R$8), $M:$M), 0.9),2)</f>
        <v>1.1200000000000001</v>
      </c>
      <c r="T16" t="s">
        <v>384</v>
      </c>
      <c r="U16" s="4" cm="1">
        <f t="array" ref="U16">ROUND(_xlfn.PERCENTILE.INC(_xlfn._xlws.FILTER($M$2:$M$1000, ($A$2:$A$1000=$U6) * ($C$2:$C$1000=U$8) * (LEFT($D$2:$D$1000,10)=$U5)), 0.9),2)</f>
        <v>1.05</v>
      </c>
      <c r="V16" s="4" cm="1">
        <f t="array" ref="V16">ROUND(_xlfn.PERCENTILE.INC(_xlfn._xlws.FILTER($M$2:$M$1000, ($A$2:$A$1000=$U6) * ($C$2:$C$1000=V$8) * (LEFT($D$2:$D$1000,10)=$U5)), 0.9),2)</f>
        <v>1.36</v>
      </c>
      <c r="W16" s="4" cm="1">
        <f t="array" ref="W16">ROUND(_xlfn.PERCENTILE.INC(_xlfn._xlws.FILTER($M$2:$M$1000, ($A$2:$A$1000=$U6) * ($C$2:$C$1000=W$8) * (LEFT($D$2:$D$1000,10)=$U5)), 0.9),2)</f>
        <v>1.04</v>
      </c>
      <c r="Y16" t="s">
        <v>384</v>
      </c>
      <c r="Z16" s="4" cm="1">
        <f t="array" ref="Z16">ROUND(_xlfn.PERCENTILE.INC(_xlfn._xlws.FILTER($M$2:$M$1000, ($A$2:$A$1000=$Z6) * ($C$2:$C$1000=Z$8) *  ($B$2:$B$1000&gt;=$Z$7) * ($B$2:$B$1000&lt;=$AB$7) * (LEFT($D$2:$D$1000,10)=$Z5)), 0.9),2)</f>
        <v>1.04</v>
      </c>
      <c r="AA16" s="4" cm="1">
        <f t="array" ref="AA16">ROUND(_xlfn.PERCENTILE.INC(_xlfn._xlws.FILTER($M$2:$M$1000, ($A$2:$A$1000=$Z6) * ($C$2:$C$1000=AA$8) *  ($B$2:$B$1000&gt;=$Z$7) * ($B$2:$B$1000&lt;=$AB$7) * (LEFT($D$2:$D$1000,10)=$Z5)), 0.9),2)</f>
        <v>1.74</v>
      </c>
      <c r="AB16" s="4" cm="1">
        <f t="array" ref="AB16">ROUND(_xlfn.PERCENTILE.INC(_xlfn._xlws.FILTER($M$2:$M$1000, ($A$2:$A$1000=$Z6) * ($C$2:$C$1000=AB$8) *  ($B$2:$B$1000&gt;=$Z$7) * ($B$2:$B$1000&lt;=$AB$7) * (LEFT($D$2:$D$1000,10)=$Z5)), 0.9),2)</f>
        <v>1.04</v>
      </c>
      <c r="AD16" t="s">
        <v>384</v>
      </c>
      <c r="AE16" s="4" cm="1">
        <f t="array" ref="AE16">ROUND(_xlfn.PERCENTILE.INC(_xlfn._xlws.FILTER($M$2:$M$1000, ($A$2:$A$1000=$AE6) * ($C$2:$C$1000=AE$8) * (LEFT($D$2:$D$1000,10)=$AE5)), 0.9),2)</f>
        <v>1.08</v>
      </c>
      <c r="AF16" s="4" cm="1">
        <f t="array" ref="AF16">ROUND(_xlfn.PERCENTILE.INC(_xlfn._xlws.FILTER($M$2:$M$1000, ($A$2:$A$1000=$AE6) * ($C$2:$C$1000=AF$8) * (LEFT($D$2:$D$1000,10)=$AE5)), 0.9),2)</f>
        <v>1.27</v>
      </c>
      <c r="AG16" s="4" cm="1">
        <f t="array" ref="AG16">ROUND(_xlfn.PERCENTILE.INC(_xlfn._xlws.FILTER($M$2:$M$1000, ($A$2:$A$1000=$AE6) * ($C$2:$C$1000=AG$8) * (LEFT($D$2:$D$1000,10)=$AE5)), 0.9),2)</f>
        <v>1.17</v>
      </c>
      <c r="AI16" t="s">
        <v>384</v>
      </c>
      <c r="AJ16" s="4" cm="1">
        <f t="array" ref="AJ16">ROUND(_xlfn.PERCENTILE.INC(_xlfn._xlws.FILTER($M$2:$M$1000, ($A$2:$A$1000=$AJ6) * ($C$2:$C$1000=AJ$8) *  ($B$2:$B$1000&gt;=$AJ$7) * ($B$2:$B$1000&lt;=$AL$7) * (LEFT($D$2:$D$1000,10)=$AJ5)), 0.9),2)</f>
        <v>1.05</v>
      </c>
      <c r="AK16" s="4" cm="1">
        <f t="array" ref="AK16">ROUND(_xlfn.PERCENTILE.INC(_xlfn._xlws.FILTER($M$2:$M$1000, ($A$2:$A$1000=$AJ6) * ($C$2:$C$1000=AK$8) *  ($B$2:$B$1000&gt;=$AJ$7) * ($B$2:$B$1000&lt;=$AL$7) * (LEFT($D$2:$D$1000,10)=$AJ5)), 0.9),2)</f>
        <v>1.17</v>
      </c>
      <c r="AL16" s="4" cm="1">
        <f t="array" ref="AL16">ROUND(_xlfn.PERCENTILE.INC(_xlfn._xlws.FILTER($M$2:$M$1000, ($A$2:$A$1000=$AJ6) * ($C$2:$C$1000=AL$8) *  ($B$2:$B$1000&gt;=$AJ$7) * ($B$2:$B$1000&lt;=$AL$7) * (LEFT($D$2:$D$1000,10)=$AJ5)), 0.9),2)</f>
        <v>1.25</v>
      </c>
    </row>
    <row r="17" spans="1:38" x14ac:dyDescent="0.25">
      <c r="A17" t="s">
        <v>12</v>
      </c>
      <c r="B17">
        <v>6</v>
      </c>
      <c r="C17" t="s">
        <v>36</v>
      </c>
      <c r="D17" t="s">
        <v>352</v>
      </c>
      <c r="E17" t="s">
        <v>353</v>
      </c>
      <c r="F17" s="1">
        <v>1.9675925925925925E-5</v>
      </c>
      <c r="G17" t="s">
        <v>16</v>
      </c>
      <c r="H17">
        <v>5</v>
      </c>
      <c r="I17">
        <v>173</v>
      </c>
      <c r="J17">
        <v>178</v>
      </c>
      <c r="L17" t="s">
        <v>17</v>
      </c>
      <c r="M17" s="3">
        <f t="shared" si="0"/>
        <v>1.0670003481209278</v>
      </c>
      <c r="O17" t="s">
        <v>635</v>
      </c>
      <c r="P17" s="4" cm="1">
        <f t="array" ref="P17">ROUND(_xlfn.PERCENTILE.INC(IF(($A:$A=$P6)*($C:$C=P$8), $M:$M), 0.95),2)</f>
        <v>1.0900000000000001</v>
      </c>
      <c r="Q17" s="4" cm="1">
        <f t="array" ref="Q17">ROUND(_xlfn.PERCENTILE.INC(IF(($A:$A=$P6)*($C:$C=Q$8), $M:$M), 0.95),2)</f>
        <v>1.41</v>
      </c>
      <c r="R17" s="4" cm="1">
        <f t="array" ref="R17">ROUND(_xlfn.PERCENTILE.INC(IF(($A:$A=$P6)*($C:$C=R$8), $M:$M), 0.95),2)</f>
        <v>1.1499999999999999</v>
      </c>
      <c r="T17" t="s">
        <v>635</v>
      </c>
      <c r="U17" s="4" cm="1">
        <f t="array" ref="U17">ROUND(_xlfn.PERCENTILE.INC(_xlfn._xlws.FILTER($M$2:$M$1000, ($A$2:$A$1000=$U6) * ($C$2:$C$1000=U$8) * (LEFT($D$2:$D$1000,10)=$U5)), 0.95),2)</f>
        <v>1.07</v>
      </c>
      <c r="V17" s="4" cm="1">
        <f t="array" ref="V17">ROUND(_xlfn.PERCENTILE.INC(_xlfn._xlws.FILTER($M$2:$M$1000, ($A$2:$A$1000=$U6) * ($C$2:$C$1000=V$8) * (LEFT($D$2:$D$1000,10)=$U5)), 0.95),2)</f>
        <v>2.2200000000000002</v>
      </c>
      <c r="W17" s="4" cm="1">
        <f t="array" ref="W17">ROUND(_xlfn.PERCENTILE.INC(_xlfn._xlws.FILTER($M$2:$M$1000, ($A$2:$A$1000=$U6) * ($C$2:$C$1000=W$8) * (LEFT($D$2:$D$1000,10)=$U5)), 0.95),2)</f>
        <v>1.06</v>
      </c>
      <c r="Y17" t="s">
        <v>635</v>
      </c>
      <c r="Z17" s="4" cm="1">
        <f t="array" ref="Z17">ROUND(_xlfn.PERCENTILE.INC(_xlfn._xlws.FILTER($M$2:$M$1000, ($A$2:$A$1000=$Z6) * ($C$2:$C$1000=Z$8) *  ($B$2:$B$1000&gt;=$Z$7) * ($B$2:$B$1000&lt;=$AB$7) * (LEFT($D$2:$D$1000,10)=$Z5)), 0.95),2)</f>
        <v>1.06</v>
      </c>
      <c r="AA17" s="4" cm="1">
        <f t="array" ref="AA17">ROUND(_xlfn.PERCENTILE.INC(_xlfn._xlws.FILTER($M$2:$M$1000, ($A$2:$A$1000=$Z6) * ($C$2:$C$1000=AA$8) *  ($B$2:$B$1000&gt;=$Z$7) * ($B$2:$B$1000&lt;=$AB$7) * (LEFT($D$2:$D$1000,10)=$Z5)), 0.95),2)</f>
        <v>2.41</v>
      </c>
      <c r="AB17" s="4" cm="1">
        <f t="array" ref="AB17">ROUND(_xlfn.PERCENTILE.INC(_xlfn._xlws.FILTER($M$2:$M$1000, ($A$2:$A$1000=$Z6) * ($C$2:$C$1000=AB$8) *  ($B$2:$B$1000&gt;=$Z$7) * ($B$2:$B$1000&lt;=$AB$7) * (LEFT($D$2:$D$1000,10)=$Z5)), 0.95),2)</f>
        <v>1.04</v>
      </c>
      <c r="AD17" t="s">
        <v>635</v>
      </c>
      <c r="AE17" s="4" cm="1">
        <f t="array" ref="AE17">ROUND(_xlfn.PERCENTILE.INC(_xlfn._xlws.FILTER($M$2:$M$1000, ($A$2:$A$1000=$AE6) * ($C$2:$C$1000=AE$8) * (LEFT($D$2:$D$1000,10)=$AE5)), 0.95),2)</f>
        <v>1.17</v>
      </c>
      <c r="AF17" s="4" cm="1">
        <f t="array" ref="AF17">ROUND(_xlfn.PERCENTILE.INC(_xlfn._xlws.FILTER($M$2:$M$1000, ($A$2:$A$1000=$AE6) * ($C$2:$C$1000=AF$8) * (LEFT($D$2:$D$1000,10)=$AE5)), 0.95),2)</f>
        <v>1.3</v>
      </c>
      <c r="AG17" s="4" cm="1">
        <f t="array" ref="AG17">ROUND(_xlfn.PERCENTILE.INC(_xlfn._xlws.FILTER($M$2:$M$1000, ($A$2:$A$1000=$AE6) * ($C$2:$C$1000=AG$8) * (LEFT($D$2:$D$1000,10)=$AE5)), 0.95),2)</f>
        <v>1.34</v>
      </c>
      <c r="AI17" t="s">
        <v>635</v>
      </c>
      <c r="AJ17" s="4" cm="1">
        <f t="array" ref="AJ17">ROUND(_xlfn.PERCENTILE.INC(_xlfn._xlws.FILTER($M$2:$M$1000, ($A$2:$A$1000=$AJ6) * ($C$2:$C$1000=AJ$8) *  ($B$2:$B$1000&gt;=$AJ$7) * ($B$2:$B$1000&lt;=$AL$7) * (LEFT($D$2:$D$1000,10)=$AJ5)), 0.95),2)</f>
        <v>1.06</v>
      </c>
      <c r="AK17" s="4" cm="1">
        <f t="array" ref="AK17">ROUND(_xlfn.PERCENTILE.INC(_xlfn._xlws.FILTER($M$2:$M$1000, ($A$2:$A$1000=$AJ6) * ($C$2:$C$1000=AK$8) *  ($B$2:$B$1000&gt;=$AJ$7) * ($B$2:$B$1000&lt;=$AL$7) * (LEFT($D$2:$D$1000,10)=$AJ5)), 0.95),2)</f>
        <v>1.22</v>
      </c>
      <c r="AL17" s="4" cm="1">
        <f t="array" ref="AL17">ROUND(_xlfn.PERCENTILE.INC(_xlfn._xlws.FILTER($M$2:$M$1000, ($A$2:$A$1000=$AJ6) * ($C$2:$C$1000=AL$8) *  ($B$2:$B$1000&gt;=$AJ$7) * ($B$2:$B$1000&lt;=$AL$7) * (LEFT($D$2:$D$1000,10)=$AJ5)), 0.95),2)</f>
        <v>1.38</v>
      </c>
    </row>
    <row r="18" spans="1:38" x14ac:dyDescent="0.25">
      <c r="A18" t="s">
        <v>12</v>
      </c>
      <c r="B18">
        <v>7</v>
      </c>
      <c r="C18" t="s">
        <v>36</v>
      </c>
      <c r="D18" t="s">
        <v>354</v>
      </c>
      <c r="E18" t="s">
        <v>355</v>
      </c>
      <c r="F18" s="1">
        <v>1.2731481481481482E-5</v>
      </c>
      <c r="G18" t="s">
        <v>16</v>
      </c>
      <c r="H18">
        <v>5</v>
      </c>
      <c r="I18">
        <v>173</v>
      </c>
      <c r="J18">
        <v>178</v>
      </c>
      <c r="L18" t="s">
        <v>17</v>
      </c>
      <c r="M18" s="3">
        <f t="shared" si="0"/>
        <v>1.0129999369382858</v>
      </c>
      <c r="O18" t="s">
        <v>385</v>
      </c>
      <c r="P18" s="4" cm="1">
        <f t="array" ref="P18">ROUND(_xlfn.PERCENTILE.INC(IF(($A:$A=$P6)*($C:$C=P$8), $M:$M), 0.99),2)</f>
        <v>1.23</v>
      </c>
      <c r="Q18" s="4" cm="1">
        <f t="array" ref="Q18">ROUND(_xlfn.PERCENTILE.INC(IF(($A:$A=$P6)*($C:$C=Q$8), $M:$M), 0.99),2)</f>
        <v>2.74</v>
      </c>
      <c r="R18" s="4" cm="1">
        <f t="array" ref="R18">ROUND(_xlfn.PERCENTILE.INC(IF(($A:$A=$P6)*($C:$C=R$8), $M:$M), 0.99),2)</f>
        <v>1.45</v>
      </c>
      <c r="T18" t="s">
        <v>385</v>
      </c>
      <c r="U18" s="4" cm="1">
        <f t="array" ref="U18">ROUND(_xlfn.PERCENTILE.INC(_xlfn._xlws.FILTER($M$2:$M$1000, ($A$2:$A$1000=$U6) * ($C$2:$C$1000=U$8) * (LEFT($D$2:$D$1000,10)=$U5)), 0.99),2)</f>
        <v>1.08</v>
      </c>
      <c r="V18" s="4" cm="1">
        <f t="array" ref="V18">ROUND(_xlfn.PERCENTILE.INC(_xlfn._xlws.FILTER($M$2:$M$1000, ($A$2:$A$1000=$U6) * ($C$2:$C$1000=V$8) * (LEFT($D$2:$D$1000,10)=$U5)), 0.99),2)</f>
        <v>2.9</v>
      </c>
      <c r="W18" s="4" cm="1">
        <f t="array" ref="W18">ROUND(_xlfn.PERCENTILE.INC(_xlfn._xlws.FILTER($M$2:$M$1000, ($A$2:$A$1000=$U6) * ($C$2:$C$1000=W$8) * (LEFT($D$2:$D$1000,10)=$U5)), 0.99),2)</f>
        <v>1.07</v>
      </c>
      <c r="Y18" t="s">
        <v>385</v>
      </c>
      <c r="Z18" s="4" cm="1">
        <f t="array" ref="Z18">ROUND(_xlfn.PERCENTILE.INC(_xlfn._xlws.FILTER($M$2:$M$1000, ($A$2:$A$1000=$Z6) * ($C$2:$C$1000=Z$8) *  ($B$2:$B$1000&gt;=$Z$7) * ($B$2:$B$1000&lt;=$AB$7) * (LEFT($D$2:$D$1000,10)=$Z5)), 0.99),2)</f>
        <v>1.08</v>
      </c>
      <c r="AA18" s="4" cm="1">
        <f t="array" ref="AA18">ROUND(_xlfn.PERCENTILE.INC(_xlfn._xlws.FILTER($M$2:$M$1000, ($A$2:$A$1000=$Z6) * ($C$2:$C$1000=AA$8) *  ($B$2:$B$1000&gt;=$Z$7) * ($B$2:$B$1000&lt;=$AB$7) * (LEFT($D$2:$D$1000,10)=$Z5)), 0.99),2)</f>
        <v>2.94</v>
      </c>
      <c r="AB18" s="4" cm="1">
        <f t="array" ref="AB18">ROUND(_xlfn.PERCENTILE.INC(_xlfn._xlws.FILTER($M$2:$M$1000, ($A$2:$A$1000=$Z6) * ($C$2:$C$1000=AB$8) *  ($B$2:$B$1000&gt;=$Z$7) * ($B$2:$B$1000&lt;=$AB$7) * (LEFT($D$2:$D$1000,10)=$Z5)), 0.99),2)</f>
        <v>1.04</v>
      </c>
      <c r="AD18" t="s">
        <v>385</v>
      </c>
      <c r="AE18" s="4" cm="1">
        <f t="array" ref="AE18">ROUND(_xlfn.PERCENTILE.INC(_xlfn._xlws.FILTER($M$2:$M$1000, ($A$2:$A$1000=$AE6) * ($C$2:$C$1000=AE$8) * (LEFT($D$2:$D$1000,10)=$AE5)), 0.99),2)</f>
        <v>1.25</v>
      </c>
      <c r="AF18" s="4" cm="1">
        <f t="array" ref="AF18">ROUND(_xlfn.PERCENTILE.INC(_xlfn._xlws.FILTER($M$2:$M$1000, ($A$2:$A$1000=$AE6) * ($C$2:$C$1000=AF$8) * (LEFT($D$2:$D$1000,10)=$AE5)), 0.99),2)</f>
        <v>1.32</v>
      </c>
      <c r="AG18" s="4" cm="1">
        <f t="array" ref="AG18">ROUND(_xlfn.PERCENTILE.INC(_xlfn._xlws.FILTER($M$2:$M$1000, ($A$2:$A$1000=$AE6) * ($C$2:$C$1000=AG$8) * (LEFT($D$2:$D$1000,10)=$AE5)), 0.99),2)</f>
        <v>1.48</v>
      </c>
      <c r="AI18" t="s">
        <v>385</v>
      </c>
      <c r="AJ18" s="4" cm="1">
        <f t="array" ref="AJ18">ROUND(_xlfn.PERCENTILE.INC(_xlfn._xlws.FILTER($M$2:$M$1000, ($A$2:$A$1000=$AJ6) * ($C$2:$C$1000=AJ$8) *  ($B$2:$B$1000&gt;=$AJ$7) * ($B$2:$B$1000&lt;=$AL$7) * (LEFT($D$2:$D$1000,10)=$AJ5)), 0.99),2)</f>
        <v>1.06</v>
      </c>
      <c r="AK18" s="4" cm="1">
        <f t="array" ref="AK18">ROUND(_xlfn.PERCENTILE.INC(_xlfn._xlws.FILTER($M$2:$M$1000, ($A$2:$A$1000=$AJ6) * ($C$2:$C$1000=AK$8) *  ($B$2:$B$1000&gt;=$AJ$7) * ($B$2:$B$1000&lt;=$AL$7) * (LEFT($D$2:$D$1000,10)=$AJ5)), 0.99),2)</f>
        <v>1.26</v>
      </c>
      <c r="AL18" s="4" cm="1">
        <f t="array" ref="AL18">ROUND(_xlfn.PERCENTILE.INC(_xlfn._xlws.FILTER($M$2:$M$1000, ($A$2:$A$1000=$AJ6) * ($C$2:$C$1000=AL$8) *  ($B$2:$B$1000&gt;=$AJ$7) * ($B$2:$B$1000&lt;=$AL$7) * (LEFT($D$2:$D$1000,10)=$AJ5)), 0.99),2)</f>
        <v>1.49</v>
      </c>
    </row>
    <row r="19" spans="1:38" x14ac:dyDescent="0.25">
      <c r="A19" t="s">
        <v>12</v>
      </c>
      <c r="B19">
        <v>8</v>
      </c>
      <c r="C19" t="s">
        <v>36</v>
      </c>
      <c r="D19" t="s">
        <v>356</v>
      </c>
      <c r="E19" t="s">
        <v>357</v>
      </c>
      <c r="F19" s="1">
        <v>1.3888888888888888E-5</v>
      </c>
      <c r="G19" t="s">
        <v>16</v>
      </c>
      <c r="H19">
        <v>5</v>
      </c>
      <c r="I19">
        <v>173</v>
      </c>
      <c r="J19">
        <v>178</v>
      </c>
      <c r="L19" t="s">
        <v>17</v>
      </c>
      <c r="M19" s="3">
        <f t="shared" si="0"/>
        <v>1.0210000444203615</v>
      </c>
      <c r="O19" t="s">
        <v>386</v>
      </c>
      <c r="P19" s="4">
        <f>P12-P11</f>
        <v>4.0000000000000036E-2</v>
      </c>
      <c r="Q19" s="4">
        <f t="shared" ref="Q19:R19" si="1">Q12-Q11</f>
        <v>9.9999999999999867E-2</v>
      </c>
      <c r="R19" s="4">
        <f t="shared" si="1"/>
        <v>4.0000000000000036E-2</v>
      </c>
      <c r="T19" t="s">
        <v>386</v>
      </c>
      <c r="U19" s="4">
        <f>U12-U11</f>
        <v>4.0000000000000036E-2</v>
      </c>
      <c r="V19" s="4">
        <f t="shared" ref="V19:W19" si="2">V12-V11</f>
        <v>5.0000000000000044E-2</v>
      </c>
      <c r="W19" s="4">
        <f t="shared" si="2"/>
        <v>2.0000000000000018E-2</v>
      </c>
      <c r="Y19" t="s">
        <v>386</v>
      </c>
      <c r="Z19" s="4">
        <f>Z12-Z11</f>
        <v>4.0000000000000036E-2</v>
      </c>
      <c r="AA19" s="4">
        <f t="shared" ref="AA19:AB19" si="3">AA12-AA11</f>
        <v>7.0000000000000062E-2</v>
      </c>
      <c r="AB19" s="4">
        <f t="shared" si="3"/>
        <v>2.0000000000000018E-2</v>
      </c>
      <c r="AD19" t="s">
        <v>386</v>
      </c>
      <c r="AE19" s="4">
        <f>AE12-AE11</f>
        <v>3.0000000000000027E-2</v>
      </c>
      <c r="AF19" s="4">
        <f t="shared" ref="AF19:AG19" si="4">AF12-AF11</f>
        <v>0.14999999999999991</v>
      </c>
      <c r="AG19" s="4">
        <f t="shared" si="4"/>
        <v>8.0000000000000071E-2</v>
      </c>
      <c r="AI19" t="s">
        <v>386</v>
      </c>
      <c r="AJ19" s="4">
        <f>AJ12-AJ11</f>
        <v>4.0000000000000036E-2</v>
      </c>
      <c r="AK19" s="4">
        <f t="shared" ref="AK19:AL19" si="5">AK12-AK11</f>
        <v>6.0000000000000053E-2</v>
      </c>
      <c r="AL19" s="4">
        <f t="shared" si="5"/>
        <v>7.0000000000000062E-2</v>
      </c>
    </row>
    <row r="20" spans="1:38" x14ac:dyDescent="0.25">
      <c r="A20" t="s">
        <v>12</v>
      </c>
      <c r="B20">
        <v>9</v>
      </c>
      <c r="C20" t="s">
        <v>36</v>
      </c>
      <c r="D20" t="s">
        <v>358</v>
      </c>
      <c r="E20" t="s">
        <v>359</v>
      </c>
      <c r="F20" s="1">
        <v>4.398148148148148E-5</v>
      </c>
      <c r="G20" t="s">
        <v>16</v>
      </c>
      <c r="H20">
        <v>5</v>
      </c>
      <c r="I20">
        <v>173</v>
      </c>
      <c r="J20">
        <v>178</v>
      </c>
      <c r="L20" t="s">
        <v>17</v>
      </c>
      <c r="M20" s="3">
        <f t="shared" si="0"/>
        <v>3.0750002944841981</v>
      </c>
      <c r="O20" t="s">
        <v>387</v>
      </c>
      <c r="P20" s="16">
        <f>P17/P19</f>
        <v>27.249999999999979</v>
      </c>
      <c r="Q20" s="16">
        <f t="shared" ref="Q20:R20" si="6">Q17/Q19</f>
        <v>14.100000000000017</v>
      </c>
      <c r="R20" s="16">
        <f t="shared" si="6"/>
        <v>28.749999999999972</v>
      </c>
      <c r="T20" t="s">
        <v>387</v>
      </c>
      <c r="U20" s="6">
        <f>U17/U19</f>
        <v>26.749999999999979</v>
      </c>
      <c r="V20" s="6">
        <f t="shared" ref="V20:W20" si="7">V17/V19</f>
        <v>44.399999999999963</v>
      </c>
      <c r="W20" s="6">
        <f t="shared" si="7"/>
        <v>52.999999999999957</v>
      </c>
      <c r="Y20" t="s">
        <v>387</v>
      </c>
      <c r="Z20" s="6">
        <f>Z17/Z19</f>
        <v>26.499999999999979</v>
      </c>
      <c r="AA20" s="6">
        <f t="shared" ref="AA20:AB20" si="8">AA17/AA19</f>
        <v>34.428571428571402</v>
      </c>
      <c r="AB20" s="6">
        <f t="shared" si="8"/>
        <v>51.999999999999957</v>
      </c>
      <c r="AD20" t="s">
        <v>387</v>
      </c>
      <c r="AE20" s="6">
        <f>AE17/AE19</f>
        <v>38.999999999999964</v>
      </c>
      <c r="AF20" s="6">
        <f t="shared" ref="AF20:AG20" si="9">AF17/AF19</f>
        <v>8.6666666666666714</v>
      </c>
      <c r="AG20" s="6">
        <f t="shared" si="9"/>
        <v>16.749999999999986</v>
      </c>
      <c r="AI20" t="s">
        <v>387</v>
      </c>
      <c r="AJ20" s="6">
        <f>AJ17/AJ19</f>
        <v>26.499999999999979</v>
      </c>
      <c r="AK20" s="6">
        <f t="shared" ref="AK20:AL20" si="10">AK17/AK19</f>
        <v>20.333333333333314</v>
      </c>
      <c r="AL20" s="6">
        <f t="shared" si="10"/>
        <v>19.714285714285694</v>
      </c>
    </row>
    <row r="21" spans="1:38" x14ac:dyDescent="0.25">
      <c r="A21" t="s">
        <v>12</v>
      </c>
      <c r="B21">
        <v>10</v>
      </c>
      <c r="C21" t="s">
        <v>36</v>
      </c>
      <c r="D21" t="s">
        <v>360</v>
      </c>
      <c r="E21" t="s">
        <v>361</v>
      </c>
      <c r="F21" s="1">
        <v>1.8518518518518518E-5</v>
      </c>
      <c r="G21" t="s">
        <v>16</v>
      </c>
      <c r="H21">
        <v>5</v>
      </c>
      <c r="I21">
        <v>173</v>
      </c>
      <c r="J21">
        <v>178</v>
      </c>
      <c r="L21" t="s">
        <v>17</v>
      </c>
      <c r="M21" s="3">
        <f t="shared" si="0"/>
        <v>1.0060000000521541</v>
      </c>
      <c r="O21" t="s">
        <v>636</v>
      </c>
      <c r="P21" s="7" t="str">
        <f>IF(P20&lt;20, "✅ SAFE",
   IF(AND(P20&gt;=20, P20&lt;30),
      IF(P17&lt;$R$28, "🟡 MODERATE", "🔴 SEVERE"),
      IF(AND(P20&gt;=30, P20&lt;=50), "🔴 SEVERE",
         IF(P20&gt;50, "🚨 CRITICAL", "ERROR"))))</f>
        <v>🟡 MODERATE</v>
      </c>
      <c r="Q21" s="7" t="str">
        <f t="shared" ref="Q21:R21" si="11">IF(Q20&lt;20, "✅ SAFE",
   IF(AND(Q20&gt;=20, Q20&lt;30),
      IF(Q17&lt;$R$28, "🟡 MODERATE", "🔴 SEVERE"),
      IF(AND(Q20&gt;=30, Q20&lt;=50), "🔴 SEVERE",
         IF(Q20&gt;50, "🚨 CRITICAL", "ERROR"))))</f>
        <v>✅ SAFE</v>
      </c>
      <c r="R21" s="7" t="str">
        <f t="shared" si="11"/>
        <v>🟡 MODERATE</v>
      </c>
      <c r="T21" t="s">
        <v>636</v>
      </c>
      <c r="U21" s="7" t="str">
        <f>IF(U20&lt;20, "✅ SAFE",
   IF(AND(U20&gt;=20, U20&lt;30),
      IF(U17&lt;$W$28, "🟡 MODERATE", "🔴 SEVERE"),
      IF(AND(U20&gt;=30, U20&lt;=50), "🔴 SEVERE",
         IF(U20&gt;50, "🚨 CRITICAL", "ERROR"))))</f>
        <v>🟡 MODERATE</v>
      </c>
      <c r="V21" s="7" t="str">
        <f t="shared" ref="V21:W21" si="12">IF(V20&lt;20, "✅ SAFE",
   IF(AND(V20&gt;=20, V20&lt;30),
      IF(V17&lt;$W$28, "🟡 MODERATE", "🔴 SEVERE"),
      IF(AND(V20&gt;=30, V20&lt;=50), "🔴 SEVERE",
         IF(V20&gt;50, "🚨 CRITICAL", "ERROR"))))</f>
        <v>🔴 SEVERE</v>
      </c>
      <c r="W21" s="7" t="str">
        <f t="shared" si="12"/>
        <v>🚨 CRITICAL</v>
      </c>
      <c r="Y21" t="s">
        <v>636</v>
      </c>
      <c r="Z21" s="7" t="str">
        <f>IF(Z20&lt;20, "✅ SAFE",
   IF(AND(Z20&gt;=20, Z20&lt;30),
      IF(Z17&lt;$AB$28, "🟡 MODERATE", "🔴 SEVERE"),
      IF(AND(Z20&gt;=30, Z20&lt;=50), "🔴 SEVERE",
         IF(Z20&gt;50, "🚨 CRITICAL", "ERROR"))))</f>
        <v>🟡 MODERATE</v>
      </c>
      <c r="AA21" s="7" t="str">
        <f t="shared" ref="AA21:AB21" si="13">IF(AA20&lt;20, "✅ SAFE",
   IF(AND(AA20&gt;=20, AA20&lt;30),
      IF(AA17&lt;$AB$28, "🟡 MODERATE", "🔴 SEVERE"),
      IF(AND(AA20&gt;=30, AA20&lt;=50), "🔴 SEVERE",
         IF(AA20&gt;50, "🚨 CRITICAL", "ERROR"))))</f>
        <v>🔴 SEVERE</v>
      </c>
      <c r="AB21" s="7" t="str">
        <f t="shared" si="13"/>
        <v>🚨 CRITICAL</v>
      </c>
      <c r="AD21" t="s">
        <v>636</v>
      </c>
      <c r="AE21" s="7" t="str">
        <f>IF(AE20&lt;20, "✅ SAFE",
   IF(AND(AE20&gt;=20, AE20&lt;30),
      IF(AE17&lt;$AG$28, "🟡 MODERATE", "🔴 SEVERE"),
      IF(AND(AE20&gt;=30, AE20&lt;=50), "🔴 SEVERE",
         IF(AE20&gt;50, "🚨 CRITICAL", "ERROR"))))</f>
        <v>🔴 SEVERE</v>
      </c>
      <c r="AF21" s="7" t="str">
        <f t="shared" ref="AF21:AG21" si="14">IF(AF20&lt;20, "✅ SAFE",
   IF(AND(AF20&gt;=20, AF20&lt;30),
      IF(AF17&lt;$AG$28, "🟡 MODERATE", "🔴 SEVERE"),
      IF(AND(AF20&gt;=30, AF20&lt;=50), "🔴 SEVERE",
         IF(AF20&gt;50, "🚨 CRITICAL", "ERROR"))))</f>
        <v>✅ SAFE</v>
      </c>
      <c r="AG21" s="7" t="str">
        <f t="shared" si="14"/>
        <v>✅ SAFE</v>
      </c>
      <c r="AI21" t="s">
        <v>636</v>
      </c>
      <c r="AJ21" s="7" t="str">
        <f>IF(AJ20&lt;20, "✅ SAFE",
   IF(AND(AJ20&gt;=20, AJ20&lt;30),
      IF(AJ17&lt;$AL$28, "🟡 MODERATE", "🔴 SEVERE"),
      IF(AND(AJ20&gt;=30, AJ20&lt;=50), "🔴 SEVERE",
         IF(AJ20&gt;50, "🚨 CRITICAL", "ERROR"))))</f>
        <v>🟡 MODERATE</v>
      </c>
      <c r="AK21" s="7" t="str">
        <f t="shared" ref="AK21:AL21" si="15">IF(AK20&lt;20, "✅ SAFE",
   IF(AND(AK20&gt;=20, AK20&lt;30),
      IF(AK17&lt;$AL$28, "🟡 MODERATE", "🔴 SEVERE"),
      IF(AND(AK20&gt;=30, AK20&lt;=50), "🔴 SEVERE",
         IF(AK20&gt;50, "🚨 CRITICAL", "ERROR"))))</f>
        <v>🟡 MODERATE</v>
      </c>
      <c r="AL21" s="7" t="str">
        <f t="shared" si="15"/>
        <v>✅ SAFE</v>
      </c>
    </row>
    <row r="22" spans="1:38" x14ac:dyDescent="0.25">
      <c r="A22" t="s">
        <v>12</v>
      </c>
      <c r="B22">
        <v>1</v>
      </c>
      <c r="C22" t="s">
        <v>57</v>
      </c>
      <c r="D22" t="s">
        <v>362</v>
      </c>
      <c r="E22" t="s">
        <v>363</v>
      </c>
      <c r="F22" s="1">
        <v>1.6203703703703704E-5</v>
      </c>
      <c r="G22" t="s">
        <v>16</v>
      </c>
      <c r="H22">
        <v>5</v>
      </c>
      <c r="I22">
        <v>108</v>
      </c>
      <c r="J22">
        <v>113</v>
      </c>
      <c r="L22" t="s">
        <v>17</v>
      </c>
      <c r="M22" s="3">
        <f t="shared" si="0"/>
        <v>1.039999513886869</v>
      </c>
      <c r="O22" t="s">
        <v>388</v>
      </c>
      <c r="P22" s="4">
        <f>ROUND(_xlfn.MAXIFS($M:$M, $A:$A, $P6, $C:$C, P$8) - _xlfn.MINIFS($M:$M, $A:$A, $P6, $C:$C, P$8),2)</f>
        <v>0.3</v>
      </c>
      <c r="Q22" s="4">
        <f>ROUND(_xlfn.MAXIFS($M:$M, $A:$A, $P6, $C:$C, Q$8) - _xlfn.MINIFS($M:$M, $A:$A, $P6, $C:$C, Q$8),2)</f>
        <v>2.0699999999999998</v>
      </c>
      <c r="R22" s="4">
        <f>ROUND(_xlfn.MAXIFS($M:$M, $A:$A, $P6, $C:$C, R$8) - _xlfn.MINIFS($M:$M, $A:$A, $P6, $C:$C, R$8),2)</f>
        <v>0.54</v>
      </c>
      <c r="T22" t="s">
        <v>388</v>
      </c>
      <c r="U22" s="4" cm="1">
        <f t="array" ref="U22">ROUND(MAX(_xlfn._xlws.FILTER($M$2:$M$1000, ($A$2:$A$1000=$U6) * ($C$2:$C$1000=U$8) * (LEFT($D$2:$D$1000,10)=$U5))) - MIN(_xlfn._xlws.FILTER($M$2:$M$1000, ($A$2:$A$1000=$U6) * ($C$2:$C$1000=U$8) * (LEFT($D$2:$D$1000,10)=$U5))),2)</f>
        <v>0.12</v>
      </c>
      <c r="V22" s="4" cm="1">
        <f t="array" ref="V22">MAX(_xlfn._xlws.FILTER($M$2:$M$1000, ($A$2:$A$1000=$U6) * ($C$2:$C$1000=V$8) * (LEFT($D$2:$D$1000,10)=$U5))) - MIN(_xlfn._xlws.FILTER($M$2:$M$1000, ($A$2:$A$1000=$U6) * ($C$2:$C$1000=V$8) * (LEFT($D$2:$D$1000,10)=$U5)))</f>
        <v>2.069000294432044</v>
      </c>
      <c r="W22" s="4" cm="1">
        <f t="array" ref="W22">MAX(_xlfn._xlws.FILTER($M$2:$M$1000, ($A$2:$A$1000=$U6) * ($C$2:$C$1000=W$8) * (LEFT($D$2:$D$1000,10)=$U5))) - MIN(_xlfn._xlws.FILTER($M$2:$M$1000, ($A$2:$A$1000=$U6) * ($C$2:$C$1000=W$8) * (LEFT($D$2:$D$1000,10)=$U5)))</f>
        <v>8.7999925017356873E-2</v>
      </c>
      <c r="Y22" t="s">
        <v>388</v>
      </c>
      <c r="Z22" s="4" cm="1">
        <f t="array" ref="Z22">ROUND(MAX(_xlfn._xlws.FILTER($M$2:$M$1000, ($A$2:$A$1000=$Z6) * ($C$2:$C$1000=Z$8) *  ($B$2:$B$1000&gt;=$Z$7) * ($B$2:$B$1000&lt;=$AB$7) * (LEFT($D$2:$D$1000,10)=$Z5))) - MIN(_xlfn._xlws.FILTER($M$2:$M$1000, ($A$2:$A$1000=$Z6) * ($C$2:$C$1000=Z$8) *  ($B$2:$B$1000&gt;=$Z$7) * ($B$2:$B$1000&lt;=$AB$7) * (LEFT($D$2:$D$1000,10)=$Z5))),2)</f>
        <v>0.12</v>
      </c>
      <c r="AA22" s="4" cm="1">
        <f t="array" ref="AA22">ROUND(MAX(_xlfn._xlws.FILTER($M$2:$M$1000, ($A$2:$A$1000=$Z6) * ($C$2:$C$1000=AA$8) *  ($B$2:$B$1000&gt;=$Z$7) * ($B$2:$B$1000&lt;=$AB$7) * (LEFT($D$2:$D$1000,10)=$Z5))) - MIN(_xlfn._xlws.FILTER($M$2:$M$1000, ($A$2:$A$1000=$Z6) * ($C$2:$C$1000=AA$8) *  ($B$2:$B$1000&gt;=$Z$7) * ($B$2:$B$1000&lt;=$AB$7) * (LEFT($D$2:$D$1000,10)=$Z5))),2)</f>
        <v>2.0699999999999998</v>
      </c>
      <c r="AB22" s="4" cm="1">
        <f t="array" ref="AB22">ROUND(MAX(_xlfn._xlws.FILTER($M$2:$M$1000, ($A$2:$A$1000=$Z6) * ($C$2:$C$1000=AB$8) *  ($B$2:$B$1000&gt;=$Z$7) * ($B$2:$B$1000&lt;=$AB$7) * (LEFT($D$2:$D$1000,10)=$Z5))) - MIN(_xlfn._xlws.FILTER($M$2:$M$1000, ($A$2:$A$1000=$Z6) * ($C$2:$C$1000=AB$8) *  ($B$2:$B$1000&gt;=$Z$7) * ($B$2:$B$1000&lt;=$AB$7) * (LEFT($D$2:$D$1000,10)=$Z5))),2)</f>
        <v>0.06</v>
      </c>
      <c r="AD22" t="s">
        <v>388</v>
      </c>
      <c r="AE22" s="4" cm="1">
        <f t="array" ref="AE22">ROUND(MAX(_xlfn._xlws.FILTER($M$2:$M$1000, ($A$2:$A$1000=$AE6) * ($C$2:$C$1000=AE$8) * (LEFT($D$2:$D$1000,10)=$AE5))) - MIN(_xlfn._xlws.FILTER($M$2:$M$1000, ($A$2:$A$1000=$AE6) * ($C$2:$C$1000=AE$8) * (LEFT($D$2:$D$1000,10)=$AE5))),2)</f>
        <v>0.27</v>
      </c>
      <c r="AF22" s="4" cm="1">
        <f t="array" ref="AF22">MAX(_xlfn._xlws.FILTER($M$2:$M$1000, ($A$2:$A$1000=$AE6) * ($C$2:$C$1000=AF$8) * (LEFT($D$2:$D$1000,10)=$AE5))) - MIN(_xlfn._xlws.FILTER($M$2:$M$1000, ($A$2:$A$1000=$AE6) * ($C$2:$C$1000=AF$8) * (LEFT($D$2:$D$1000,10)=$AE5)))</f>
        <v>0.26299960445612669</v>
      </c>
      <c r="AG22" s="4" cm="1">
        <f t="array" ref="AG22">MAX(_xlfn._xlws.FILTER($M$2:$M$1000, ($A$2:$A$1000=$AE6) * ($C$2:$C$1000=AG$8) * (LEFT($D$2:$D$1000,10)=$AE5))) - MIN(_xlfn._xlws.FILTER($M$2:$M$1000, ($A$2:$A$1000=$AE6) * ($C$2:$C$1000=AG$8) * (LEFT($D$2:$D$1000,10)=$AE5)))</f>
        <v>0.48300004564225674</v>
      </c>
      <c r="AI22" t="s">
        <v>388</v>
      </c>
      <c r="AJ22" s="4" cm="1">
        <f t="array" ref="AJ22">ROUND(MAX(_xlfn._xlws.FILTER($M$2:$M$1000, ($A$2:$A$1000=$AJ6) * ($C$2:$C$1000=AJ$8) *  ($B$2:$B$1000&gt;=$AJ$7) * ($B$2:$B$1000&lt;=$AL$7) * (LEFT($D$2:$D$1000,10)=$AJ5))) - MIN(_xlfn._xlws.FILTER($M$2:$M$1000, ($A$2:$A$1000=$AJ6) * ($C$2:$C$1000=AJ$8) *  ($B$2:$B$1000&gt;=$AJ$7) * ($B$2:$B$1000&lt;=$AL$7) * (LEFT($D$2:$D$1000,10)=$AJ5))),2)</f>
        <v>0.06</v>
      </c>
      <c r="AK22" s="4" cm="1">
        <f t="array" ref="AK22">ROUND(MAX(_xlfn._xlws.FILTER($M$2:$M$1000, ($A$2:$A$1000=$AJ6) * ($C$2:$C$1000=AK$8) *  ($B$2:$B$1000&gt;=$AJ$7) * ($B$2:$B$1000&lt;=$AL$7) * (LEFT($D$2:$D$1000,10)=$AJ5))) - MIN(_xlfn._xlws.FILTER($M$2:$M$1000, ($A$2:$A$1000=$AJ6) * ($C$2:$C$1000=AK$8) *  ($B$2:$B$1000&gt;=$AJ$7) * ($B$2:$B$1000&lt;=$AL$7) * (LEFT($D$2:$D$1000,10)=$AJ5))),2)</f>
        <v>0.21</v>
      </c>
      <c r="AL22" s="4" cm="1">
        <f t="array" ref="AL22">ROUND(MAX(_xlfn._xlws.FILTER($M$2:$M$1000, ($A$2:$A$1000=$AJ6) * ($C$2:$C$1000=AL$8) *  ($B$2:$B$1000&gt;=$AJ$7) * ($B$2:$B$1000&lt;=$AL$7) * (LEFT($D$2:$D$1000,10)=$AJ5))) - MIN(_xlfn._xlws.FILTER($M$2:$M$1000, ($A$2:$A$1000=$AJ6) * ($C$2:$C$1000=AL$8) *  ($B$2:$B$1000&gt;=$AJ$7) * ($B$2:$B$1000&lt;=$AL$7) * (LEFT($D$2:$D$1000,10)=$AJ5))),2)</f>
        <v>0.48</v>
      </c>
    </row>
    <row r="23" spans="1:38" x14ac:dyDescent="0.25">
      <c r="A23" t="s">
        <v>12</v>
      </c>
      <c r="B23">
        <v>2</v>
      </c>
      <c r="C23" t="s">
        <v>57</v>
      </c>
      <c r="D23" t="s">
        <v>364</v>
      </c>
      <c r="E23" t="s">
        <v>365</v>
      </c>
      <c r="F23" s="1">
        <v>1.3888888888888888E-5</v>
      </c>
      <c r="G23" t="s">
        <v>16</v>
      </c>
      <c r="H23">
        <v>5</v>
      </c>
      <c r="I23">
        <v>108</v>
      </c>
      <c r="J23">
        <v>113</v>
      </c>
      <c r="L23" t="s">
        <v>17</v>
      </c>
      <c r="M23" s="3">
        <f t="shared" si="0"/>
        <v>1.0149996494874358</v>
      </c>
      <c r="O23" t="s">
        <v>389</v>
      </c>
      <c r="P23" s="17">
        <f>ROUND(P15/P9,2)</f>
        <v>0.06</v>
      </c>
      <c r="Q23" s="17">
        <f>ROUND(Q15/Q9,2)</f>
        <v>0.38</v>
      </c>
      <c r="R23" s="17">
        <f>ROUND(R15/R9,2)</f>
        <v>0.1</v>
      </c>
      <c r="T23" t="s">
        <v>389</v>
      </c>
      <c r="U23" s="5">
        <f>U15/U9</f>
        <v>2.9702970297029702E-2</v>
      </c>
      <c r="V23" s="5">
        <f t="shared" ref="V23:W23" si="16">V15/V9</f>
        <v>0.48799999999999999</v>
      </c>
      <c r="W23" s="5">
        <f t="shared" si="16"/>
        <v>1.9417475728155338E-2</v>
      </c>
      <c r="Y23" t="s">
        <v>389</v>
      </c>
      <c r="Z23" s="5">
        <f>Z15/Z9</f>
        <v>2.9702970297029702E-2</v>
      </c>
      <c r="AA23" s="5">
        <f>AA15/AA9</f>
        <v>0.51538461538461544</v>
      </c>
      <c r="AB23" s="5">
        <f t="shared" ref="AB23" si="17">AB15/AB9</f>
        <v>1.9607843137254902E-2</v>
      </c>
      <c r="AD23" t="s">
        <v>389</v>
      </c>
      <c r="AE23" s="5">
        <f>AE15/AE9</f>
        <v>6.6037735849056603E-2</v>
      </c>
      <c r="AF23" s="5">
        <f t="shared" ref="AF23:AG23" si="18">AF15/AF9</f>
        <v>7.8260869565217397E-2</v>
      </c>
      <c r="AG23" s="5">
        <f t="shared" si="18"/>
        <v>0.125</v>
      </c>
      <c r="AI23" t="s">
        <v>389</v>
      </c>
      <c r="AJ23" s="5">
        <f>AJ15/AJ9</f>
        <v>1.9417475728155338E-2</v>
      </c>
      <c r="AK23" s="5">
        <f t="shared" ref="AK23:AL23" si="19">AK15/AK9</f>
        <v>5.405405405405405E-2</v>
      </c>
      <c r="AL23" s="5">
        <f t="shared" si="19"/>
        <v>0.13274336283185842</v>
      </c>
    </row>
    <row r="24" spans="1:38" ht="15.75" thickBot="1" x14ac:dyDescent="0.3">
      <c r="A24" t="s">
        <v>12</v>
      </c>
      <c r="B24">
        <v>3</v>
      </c>
      <c r="C24" t="s">
        <v>57</v>
      </c>
      <c r="D24" t="s">
        <v>366</v>
      </c>
      <c r="E24" t="s">
        <v>367</v>
      </c>
      <c r="F24" s="1">
        <v>1.6203703703703704E-5</v>
      </c>
      <c r="G24" t="s">
        <v>16</v>
      </c>
      <c r="H24">
        <v>5</v>
      </c>
      <c r="I24">
        <v>108</v>
      </c>
      <c r="J24">
        <v>113</v>
      </c>
      <c r="L24" t="s">
        <v>17</v>
      </c>
      <c r="M24" s="3">
        <f t="shared" si="0"/>
        <v>1.0420004837214947</v>
      </c>
      <c r="T24" t="s">
        <v>662</v>
      </c>
      <c r="U24" s="7" t="str">
        <f>IF(U20&lt;20, "✅",
   IF(AND(U20&gt;=20, U20&lt;30),
      IF(U17&lt;$W$28, "🟡", "🔴"),
      IF(AND(U20&gt;=30, U20&lt;=50), "🔴",
         IF(U20&gt;50, "🚨", ""))))</f>
        <v>🟡</v>
      </c>
      <c r="V24" s="7" t="str">
        <f t="shared" ref="V24:W24" si="20">IF(V20&lt;20, "✅",
   IF(AND(V20&gt;=20, V20&lt;30),
      IF(V17&lt;$W$28, "🟡", "🔴"),
      IF(AND(V20&gt;=30, V20&lt;=50), "🔴",
         IF(V20&gt;50, "🚨", ""))))</f>
        <v>🔴</v>
      </c>
      <c r="W24" s="7" t="str">
        <f t="shared" si="20"/>
        <v>🚨</v>
      </c>
      <c r="Y24" t="s">
        <v>662</v>
      </c>
      <c r="Z24" s="7" t="str">
        <f>IF(Z20&lt;20, "✅",
   IF(AND(Z20&gt;=20, Z20&lt;30),
      IF(Z17&lt;$AB$28, "🟡", "🔴"),
      IF(AND(Z20&gt;=30, Z20&lt;=50), "🔴",
         IF(Z20&gt;50, "🚨", ""))))</f>
        <v>🟡</v>
      </c>
      <c r="AA24" s="7" t="str">
        <f t="shared" ref="AA24:AB24" si="21">IF(AA20&lt;20, "✅",
   IF(AND(AA20&gt;=20, AA20&lt;30),
      IF(AA17&lt;$AB$28, "🟡", "🔴"),
      IF(AND(AA20&gt;=30, AA20&lt;=50), "🔴",
         IF(AA20&gt;50, "🚨", ""))))</f>
        <v>🔴</v>
      </c>
      <c r="AB24" s="7" t="str">
        <f t="shared" si="21"/>
        <v>🚨</v>
      </c>
      <c r="AD24" t="s">
        <v>662</v>
      </c>
      <c r="AE24" s="7" t="str">
        <f>IF(AE20&lt;20, "✅",
   IF(AND(AE20&gt;=20, AE20&lt;30),
      IF(AE17&lt;$AG$28, "🟡", "🔴"),
      IF(AND(AE20&gt;=30, AE20&lt;=50), "🔴",
         IF(AE20&gt;50, "🚨", ""))))</f>
        <v>🔴</v>
      </c>
      <c r="AF24" s="7" t="str">
        <f t="shared" ref="AF24:AG24" si="22">IF(AF20&lt;20, "✅",
   IF(AND(AF20&gt;=20, AF20&lt;30),
      IF(AF17&lt;$AG$28, "🟡", "🔴"),
      IF(AND(AF20&gt;=30, AF20&lt;=50), "🔴",
         IF(AF20&gt;50, "🚨", ""))))</f>
        <v>✅</v>
      </c>
      <c r="AG24" s="7" t="str">
        <f t="shared" si="22"/>
        <v>✅</v>
      </c>
      <c r="AI24" t="s">
        <v>662</v>
      </c>
      <c r="AJ24" s="7" t="str">
        <f>IF(AJ20&lt;20, "✅",
   IF(AND(AJ20&gt;=20, AJ20&lt;30),
      IF(AJ17&lt;$AL$28, "🟡", "🔴"),
      IF(AND(AJ20&gt;=30, AJ20&lt;=50), "🔴",
         IF(AJ20&gt;50, "🚨", ""))))</f>
        <v>🟡</v>
      </c>
      <c r="AK24" s="7" t="str">
        <f t="shared" ref="AK24:AL24" si="23">IF(AK20&lt;20, "✅",
   IF(AND(AK20&gt;=20, AK20&lt;30),
      IF(AK17&lt;$AL$28, "🟡", "🔴"),
      IF(AND(AK20&gt;=30, AK20&lt;=50), "🔴",
         IF(AK20&gt;50, "🚨", ""))))</f>
        <v>🟡</v>
      </c>
      <c r="AL24" s="7" t="str">
        <f t="shared" si="23"/>
        <v>✅</v>
      </c>
    </row>
    <row r="25" spans="1:38" ht="15.75" customHeight="1" thickBot="1" x14ac:dyDescent="0.3">
      <c r="A25" t="s">
        <v>12</v>
      </c>
      <c r="B25">
        <v>4</v>
      </c>
      <c r="C25" t="s">
        <v>57</v>
      </c>
      <c r="D25" t="s">
        <v>368</v>
      </c>
      <c r="E25" t="s">
        <v>369</v>
      </c>
      <c r="F25" s="1">
        <v>1.3888888888888888E-5</v>
      </c>
      <c r="G25" t="s">
        <v>16</v>
      </c>
      <c r="H25">
        <v>5</v>
      </c>
      <c r="I25">
        <v>108</v>
      </c>
      <c r="J25">
        <v>113</v>
      </c>
      <c r="L25" t="s">
        <v>17</v>
      </c>
      <c r="M25" s="3">
        <f t="shared" si="0"/>
        <v>1.0159998200833797</v>
      </c>
      <c r="O25" s="36" t="s">
        <v>651</v>
      </c>
      <c r="P25" s="37"/>
      <c r="Q25" s="37"/>
      <c r="R25" s="38"/>
      <c r="T25" s="36" t="s">
        <v>652</v>
      </c>
      <c r="U25" s="37"/>
      <c r="V25" s="37"/>
      <c r="W25" s="38"/>
      <c r="Y25" s="36" t="s">
        <v>653</v>
      </c>
      <c r="Z25" s="37"/>
      <c r="AA25" s="37"/>
      <c r="AB25" s="38"/>
      <c r="AD25" s="36" t="s">
        <v>654</v>
      </c>
      <c r="AE25" s="37"/>
      <c r="AF25" s="37"/>
      <c r="AG25" s="38"/>
      <c r="AI25" s="36" t="s">
        <v>655</v>
      </c>
      <c r="AJ25" s="37"/>
      <c r="AK25" s="37"/>
      <c r="AL25" s="38"/>
    </row>
    <row r="26" spans="1:38" x14ac:dyDescent="0.25">
      <c r="A26" t="s">
        <v>12</v>
      </c>
      <c r="B26">
        <v>5</v>
      </c>
      <c r="C26" t="s">
        <v>57</v>
      </c>
      <c r="D26" t="s">
        <v>370</v>
      </c>
      <c r="E26" t="s">
        <v>371</v>
      </c>
      <c r="F26" s="1">
        <v>1.2731481481481482E-5</v>
      </c>
      <c r="G26" t="s">
        <v>16</v>
      </c>
      <c r="H26">
        <v>5</v>
      </c>
      <c r="I26">
        <v>108</v>
      </c>
      <c r="J26">
        <v>113</v>
      </c>
      <c r="L26" t="s">
        <v>17</v>
      </c>
      <c r="M26" s="3">
        <f t="shared" si="0"/>
        <v>1.0129999369382858</v>
      </c>
      <c r="O26" s="23" t="s">
        <v>648</v>
      </c>
      <c r="P26" s="23"/>
      <c r="Q26" s="23"/>
      <c r="R26" s="4">
        <f>MIN(P9:R9)</f>
        <v>1.04</v>
      </c>
      <c r="T26" s="23" t="s">
        <v>648</v>
      </c>
      <c r="U26" s="23"/>
      <c r="V26" s="23"/>
      <c r="W26" s="4">
        <f>MIN(U9:W9)</f>
        <v>1.01</v>
      </c>
      <c r="Y26" s="23" t="s">
        <v>648</v>
      </c>
      <c r="Z26" s="23"/>
      <c r="AA26" s="23"/>
      <c r="AB26" s="4">
        <f>MIN(Z9:AB9)</f>
        <v>1.01</v>
      </c>
      <c r="AD26" s="23" t="s">
        <v>648</v>
      </c>
      <c r="AE26" s="23"/>
      <c r="AF26" s="23"/>
      <c r="AG26" s="4">
        <f>MIN(AE9:AG9)</f>
        <v>1.06</v>
      </c>
      <c r="AI26" s="23" t="s">
        <v>648</v>
      </c>
      <c r="AJ26" s="23"/>
      <c r="AK26" s="23"/>
      <c r="AL26" s="4">
        <f>MIN(AJ9:AL9)</f>
        <v>1.03</v>
      </c>
    </row>
    <row r="27" spans="1:38" x14ac:dyDescent="0.25">
      <c r="A27" t="s">
        <v>12</v>
      </c>
      <c r="B27">
        <v>6</v>
      </c>
      <c r="C27" t="s">
        <v>57</v>
      </c>
      <c r="D27" t="s">
        <v>372</v>
      </c>
      <c r="E27" t="s">
        <v>373</v>
      </c>
      <c r="F27" s="1">
        <v>1.1574074074074073E-5</v>
      </c>
      <c r="G27" t="s">
        <v>16</v>
      </c>
      <c r="H27">
        <v>5</v>
      </c>
      <c r="I27">
        <v>108</v>
      </c>
      <c r="J27">
        <v>113</v>
      </c>
      <c r="L27" t="s">
        <v>17</v>
      </c>
      <c r="M27" s="3">
        <f t="shared" si="0"/>
        <v>0.98200030624866486</v>
      </c>
      <c r="O27" s="23" t="s">
        <v>649</v>
      </c>
      <c r="P27" s="23"/>
      <c r="Q27" s="23"/>
      <c r="R27" s="4">
        <f>MAX(P9:R9)</f>
        <v>1.2</v>
      </c>
      <c r="T27" s="23" t="s">
        <v>649</v>
      </c>
      <c r="U27" s="23"/>
      <c r="V27" s="23"/>
      <c r="W27" s="4">
        <f>MAX(U9:W9)</f>
        <v>1.25</v>
      </c>
      <c r="Y27" s="23" t="s">
        <v>649</v>
      </c>
      <c r="Z27" s="23"/>
      <c r="AA27" s="23"/>
      <c r="AB27" s="4">
        <f>MAX(Z9:AB9)</f>
        <v>1.3</v>
      </c>
      <c r="AD27" s="23" t="s">
        <v>649</v>
      </c>
      <c r="AE27" s="23"/>
      <c r="AF27" s="23"/>
      <c r="AG27" s="4">
        <f>MAX(AE9:AG9)</f>
        <v>1.1499999999999999</v>
      </c>
      <c r="AI27" s="23" t="s">
        <v>649</v>
      </c>
      <c r="AJ27" s="23"/>
      <c r="AK27" s="23"/>
      <c r="AL27" s="4">
        <f>MAX(AJ9:AL9)</f>
        <v>1.1299999999999999</v>
      </c>
    </row>
    <row r="28" spans="1:38" x14ac:dyDescent="0.25">
      <c r="A28" t="s">
        <v>12</v>
      </c>
      <c r="B28">
        <v>7</v>
      </c>
      <c r="C28" t="s">
        <v>57</v>
      </c>
      <c r="D28" t="s">
        <v>374</v>
      </c>
      <c r="E28" t="s">
        <v>375</v>
      </c>
      <c r="F28" s="1">
        <v>1.5046296296296297E-5</v>
      </c>
      <c r="G28" t="s">
        <v>16</v>
      </c>
      <c r="H28">
        <v>5</v>
      </c>
      <c r="I28">
        <v>108</v>
      </c>
      <c r="J28">
        <v>113</v>
      </c>
      <c r="L28" t="s">
        <v>17</v>
      </c>
      <c r="M28" s="3">
        <f t="shared" si="0"/>
        <v>1.0290001519024372</v>
      </c>
      <c r="O28" s="23" t="s">
        <v>650</v>
      </c>
      <c r="P28" s="23"/>
      <c r="Q28" s="23"/>
      <c r="R28">
        <f>MAX(3*R26, 1)</f>
        <v>3.12</v>
      </c>
      <c r="T28" s="23" t="s">
        <v>650</v>
      </c>
      <c r="U28" s="23"/>
      <c r="V28" s="23"/>
      <c r="W28" s="4">
        <f>MAX(3*W26, 1)</f>
        <v>3.0300000000000002</v>
      </c>
      <c r="Y28" s="23" t="s">
        <v>666</v>
      </c>
      <c r="Z28" s="23"/>
      <c r="AA28" s="23"/>
      <c r="AB28" s="4">
        <f>MAX(3*AB26, 1)</f>
        <v>3.0300000000000002</v>
      </c>
      <c r="AD28" s="23" t="s">
        <v>650</v>
      </c>
      <c r="AE28" s="23"/>
      <c r="AF28" s="23"/>
      <c r="AG28" s="4">
        <f>MAX(3*AG26, 1)</f>
        <v>3.18</v>
      </c>
      <c r="AI28" s="23" t="s">
        <v>666</v>
      </c>
      <c r="AJ28" s="23"/>
      <c r="AK28" s="23"/>
      <c r="AL28" s="4">
        <f>MAX(3*AL26, 1)</f>
        <v>3.09</v>
      </c>
    </row>
    <row r="29" spans="1:38" x14ac:dyDescent="0.25">
      <c r="A29" t="s">
        <v>12</v>
      </c>
      <c r="B29">
        <v>8</v>
      </c>
      <c r="C29" t="s">
        <v>57</v>
      </c>
      <c r="D29" t="s">
        <v>376</v>
      </c>
      <c r="E29" t="s">
        <v>377</v>
      </c>
      <c r="F29" s="1">
        <v>1.6203703703703704E-5</v>
      </c>
      <c r="G29" t="s">
        <v>16</v>
      </c>
      <c r="H29">
        <v>5</v>
      </c>
      <c r="I29">
        <v>108</v>
      </c>
      <c r="J29">
        <v>113</v>
      </c>
      <c r="L29" t="s">
        <v>17</v>
      </c>
      <c r="M29" s="3">
        <f t="shared" si="0"/>
        <v>1.0389999719336629</v>
      </c>
    </row>
    <row r="30" spans="1:38" x14ac:dyDescent="0.25">
      <c r="A30" t="s">
        <v>12</v>
      </c>
      <c r="B30">
        <v>9</v>
      </c>
      <c r="C30" t="s">
        <v>57</v>
      </c>
      <c r="D30" t="s">
        <v>378</v>
      </c>
      <c r="E30" t="s">
        <v>379</v>
      </c>
      <c r="F30" s="1">
        <v>1.3888888888888888E-5</v>
      </c>
      <c r="G30" t="s">
        <v>16</v>
      </c>
      <c r="H30">
        <v>5</v>
      </c>
      <c r="I30">
        <v>108</v>
      </c>
      <c r="J30">
        <v>113</v>
      </c>
      <c r="L30" t="s">
        <v>17</v>
      </c>
      <c r="M30" s="3">
        <f t="shared" si="0"/>
        <v>1.0179995326325297</v>
      </c>
      <c r="O30" s="23" t="s">
        <v>656</v>
      </c>
      <c r="P30" s="23"/>
      <c r="Q30" s="23"/>
      <c r="R30" s="23"/>
      <c r="T30" s="23" t="s">
        <v>667</v>
      </c>
      <c r="U30" s="23"/>
      <c r="V30" s="23"/>
      <c r="Y30" s="24" t="s">
        <v>672</v>
      </c>
      <c r="Z30" s="24"/>
      <c r="AA30" s="24"/>
      <c r="AD30" s="23" t="s">
        <v>704</v>
      </c>
      <c r="AE30" s="23"/>
      <c r="AF30" s="23"/>
      <c r="AG30" s="23"/>
      <c r="AH30" s="23"/>
    </row>
    <row r="31" spans="1:38" x14ac:dyDescent="0.25">
      <c r="A31" t="s">
        <v>12</v>
      </c>
      <c r="B31">
        <v>10</v>
      </c>
      <c r="C31" t="s">
        <v>57</v>
      </c>
      <c r="D31" t="s">
        <v>380</v>
      </c>
      <c r="E31" t="s">
        <v>381</v>
      </c>
      <c r="F31" s="1">
        <v>1.9675925925925925E-5</v>
      </c>
      <c r="G31" t="s">
        <v>16</v>
      </c>
      <c r="H31">
        <v>5</v>
      </c>
      <c r="I31">
        <v>108</v>
      </c>
      <c r="J31">
        <v>113</v>
      </c>
      <c r="L31" t="s">
        <v>17</v>
      </c>
      <c r="M31" s="3">
        <f t="shared" si="0"/>
        <v>1.0700002312660217</v>
      </c>
      <c r="O31" t="s">
        <v>645</v>
      </c>
      <c r="P31" t="str">
        <f>_xlfn.LET(
    _xlpm.sym_mean, Z9,
    _xlpm.dsl_mean, AA9,
    _xlpm.norm_mean, AB9,
    _xlpm.sym_risk, "🟡",
    _xlpm.dsl_risk, "🔴",
    _xlpm.norm_risk, "🔴",
    _xlpm.min_val, MIN(_xlpm.sym_mean, _xlpm.dsl_mean, _xlpm.norm_mean),
    _xlpm.tie_count, (_xlpm.sym_mean = _xlpm.min_val) + (_xlpm.dsl_mean = _xlpm.min_val) + (_xlpm.norm_mean = _xlpm.min_val),
    _xlpm.winner_format, IF(_xlpm.sym_mean = _xlpm.min_val, "Symbolic",
                     IF(_xlpm.dsl_mean = _xlpm.min_val, "DSL/JSON",
                        IF(_xlpm.norm_mean = _xlpm.min_val, "Normal", ""))),
    _xlpm.winner_risk, IF(_xlpm.sym_mean = _xlpm.min_val, _xlpm.sym_risk,
                   IF(_xlpm.dsl_mean = _xlpm.min_val, _xlpm.dsl_risk,
                      IF(_xlpm.norm_mean = _xlpm.min_val, _xlpm.norm_risk, ""))),
    IF(_xlpm.tie_count &gt; 1,
        "🤝 Tie",
        "🏆 " &amp; _xlpm.winner_format &amp; IF(_xlpm.winner_risk = "🟡", "⚠️", "")
    )
)</f>
        <v>🏆 Symbolic⚠️</v>
      </c>
      <c r="U31" s="20">
        <v>46084</v>
      </c>
      <c r="V31" s="20">
        <v>46086</v>
      </c>
      <c r="W31" t="s">
        <v>673</v>
      </c>
      <c r="Y31" s="21" t="s">
        <v>668</v>
      </c>
      <c r="Z31" s="21" t="s">
        <v>669</v>
      </c>
      <c r="AA31" s="21" t="s">
        <v>670</v>
      </c>
      <c r="AD31" t="s">
        <v>681</v>
      </c>
      <c r="AE31" s="7" t="s">
        <v>668</v>
      </c>
      <c r="AF31" s="7" t="s">
        <v>685</v>
      </c>
      <c r="AG31" s="7" t="s">
        <v>670</v>
      </c>
      <c r="AH31" s="7" t="s">
        <v>644</v>
      </c>
      <c r="AI31" s="7"/>
      <c r="AJ31" s="7"/>
      <c r="AK31" s="7"/>
    </row>
    <row r="32" spans="1:38" x14ac:dyDescent="0.25">
      <c r="A32" t="s">
        <v>78</v>
      </c>
      <c r="B32">
        <v>1</v>
      </c>
      <c r="C32" t="s">
        <v>13</v>
      </c>
      <c r="D32" t="s">
        <v>391</v>
      </c>
      <c r="E32" t="s">
        <v>392</v>
      </c>
      <c r="F32" s="1">
        <v>2.5462962962962965E-5</v>
      </c>
      <c r="G32" t="s">
        <v>16</v>
      </c>
      <c r="H32">
        <v>4</v>
      </c>
      <c r="I32">
        <v>74</v>
      </c>
      <c r="J32">
        <v>78</v>
      </c>
      <c r="L32" t="s">
        <v>17</v>
      </c>
      <c r="M32" s="3">
        <f t="shared" si="0"/>
        <v>2.2219999926164746</v>
      </c>
      <c r="O32" t="s">
        <v>646</v>
      </c>
      <c r="P32" t="str">
        <f>_xlfn.LET(
    _xlpm.sym_mean, AJ9,
    _xlpm.dsl_mean, AK9,
    _xlpm.norm_mean, AL9,
    _xlpm.sym_risk, "🟡",
    _xlpm.dsl_risk, "🔴",
    _xlpm.norm_risk, "🔴",
    _xlpm.min_val, MIN(_xlpm.sym_mean, _xlpm.dsl_mean, _xlpm.norm_mean),
    _xlpm.tie_count, (_xlpm.sym_mean = _xlpm.min_val) + (_xlpm.dsl_mean = _xlpm.min_val) + (_xlpm.norm_mean = _xlpm.min_val),
    _xlpm.winner_format, IF(_xlpm.sym_mean = _xlpm.min_val, "Symbolic",
                     IF(_xlpm.dsl_mean = _xlpm.min_val, "DSL/JSON",
                        IF(_xlpm.norm_mean = _xlpm.min_val, "Normal", ""))),
    _xlpm.winner_risk, IF(_xlpm.sym_mean = _xlpm.min_val, _xlpm.sym_risk,
                   IF(_xlpm.dsl_mean = _xlpm.min_val, _xlpm.dsl_risk,
                      IF(_xlpm.norm_mean = _xlpm.min_val, _xlpm.norm_risk, ""))),
    IF(_xlpm.tie_count &gt; 1,
        "🤝 Tie",
        "🏆 " &amp; _xlpm.winner_format &amp; IF(_xlpm.winner_risk = "🟡", "⚠️", "")
    )
)</f>
        <v>🏆 Symbolic⚠️</v>
      </c>
      <c r="T32" t="s">
        <v>382</v>
      </c>
      <c r="U32" t="str">
        <f>_xlfn.LET(
   _xlpm.symbolic, Z9,
   _xlpm.dsl_json, AA9,
   _xlpm.normal, AB9,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Symbolic (1.01s)</v>
      </c>
      <c r="V32" t="str">
        <f>_xlfn.LET(
   _xlpm.symbolic, AJ9,
   _xlpm.dsl_json, AK9,
   _xlpm.normal, AL9,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Symbolic (1.03s)</v>
      </c>
      <c r="W32" t="str">
        <f>_xlfn.LET(
   _xlpm.symbolic_eligible, $Y$32,
   _xlpm.dsl_eligible, $Z$32,
   _xlpm.normal_eligible, $AA$32,
   _xlpm.symbolic_warning, $Y$36,
   _xlpm.dsl_warning, $Z$36,
   _xlpm.normal_warning, $AA$36,
   _xlpm.symbolic_w1, $P$34,
   _xlpm.symbolic_w2, $P$34,
   _xlpm.symbolic_mean, ($P$34*Z9 + $P$34*AJ9)/($P$34*2),
   _xlpm.dsl_w1, $P$34,
   _xlpm.dsl_w2, $P$34,
   _xlpm.dsl_mean, ($P$34*AA9 + $P$34*AK9)/($P$34*2),
   _xlpm.normal_w1, $P$34,
   _xlpm.normal_w2, $P$34,
   _xlpm.normal_mean, ($P$34*AB9 + $P$34*AL9)/($P$34*2),
   _xlpm.eligible_means, IF(_xlpm.symbolic_eligible, _xlpm.symbolic_mean, 999) &amp; "," &amp;
                    IF(_xlpm.dsl_eligible, _xlpm.dsl_mean, 999) &amp; "," &amp;
                    IF(_xlpm.normal_eligible, _xlpm.normal_mean, 999),
   _xlpm.fastest, MIN(IF(_xlpm.symbolic_eligible, _xlpm.symbolic_mean, 999),
                IF(_xlpm.dsl_eligible, _xlpm.dsl_mean, 999),
                IF(_xlpm.normal_eligible, _xlpm.normal_mean, 999)),
   _xlpm.tie_count, (IF(_xlpm.symbolic_eligible, IF(_xlpm.symbolic_mean=_xlpm.fastest,1,0),0)) +
              (IF(_xlpm.dsl_eligible, IF(_xlpm.dsl_mean=_xlpm.fastest,1,0),0)) +
              (IF(_xlpm.normal_eligible, IF(_xlpm.normal_mean=_xlpm.fastest,1,0),0)),
   _xlpm.value_text, IF(AND(_xlpm.symbolic_eligible, _xlpm.symbolic_mean=_xlpm.fastest), TEXT(_xlpm.symbolic_mean, "0.00"),
                 IF(AND(_xlpm.dsl_eligible, _xlpm.dsl_mean=_xlpm.fastest), TEXT(_xlpm.dsl_mean, "0.00"),
                 IF(AND(_xlpm.normal_eligible, _xlpm.normal_mean=_xlpm.fastest), TEXT(_xlpm.normal_mean, "0.00"), ""))),
   _xlpm.winner_text, IF(_xlpm.tie_count=0, "⚠️ No Eligible Formats",
                 IF(_xlpm.tie_count&gt;1, "🤝 Tie (" &amp; TEXT(_xlpm.fastest, "0.00") &amp; "s)",
                    IF(AND(_xlpm.symbolic_eligible, _xlpm.symbolic_mean=_xlpm.fastest),
                       "🏆 Symbolic" &amp; _xlpm.symbolic_warning &amp; " (" &amp; _xlpm.value_text &amp; "s)",
                       IF(AND(_xlpm.dsl_eligible, _xlpm.dsl_mean=_xlpm.fastest),
                          "🏆 DSL/JSON" &amp; _xlpm.dsl_warning &amp; " (" &amp; _xlpm.value_text &amp; "s)",
                          IF(AND(_xlpm.normal_eligible, _xlpm.normal_mean=_xlpm.fastest),
                             "🏆 Normal" &amp; _xlpm.normal_warning &amp; " (" &amp; _xlpm.value_text &amp; "s)",
                             "Error"))))),
   _xlpm.winner_text
)</f>
        <v>🏆 Symbolic⚠️ (1.02s)</v>
      </c>
      <c r="Y32" s="22" t="b">
        <f>IF(AND(Z21&lt;&gt;"🔴 SEVERE",Z21&lt;&gt;"🚨 CRITICAL",AJ21&lt;&gt;"🔴 SEVERE",AJ21&lt;&gt;"🚨 CRITICAL"), TRUE, FALSE)</f>
        <v>1</v>
      </c>
      <c r="Z32" s="22" t="b">
        <f t="shared" ref="Z32" si="24">IF(AND(AA21&lt;&gt;"🔴 SEVERE",AA21&lt;&gt;"🚨 CRITICAL",AK21&lt;&gt;"🔴 SEVERE",AK21&lt;&gt;"🚨 CRITICAL"), TRUE, FALSE)</f>
        <v>0</v>
      </c>
      <c r="AA32" s="22" t="b">
        <f>IF(AND(AB21&lt;&gt;"🔴 SEVERE",AB21&lt;&gt;"🚨 CRITICAL",AL21&lt;&gt;"🔴 SEVERE",AL21&lt;&gt;"🚨 CRITICAL"), TRUE, FALSE)</f>
        <v>0</v>
      </c>
      <c r="AB32" s="7"/>
      <c r="AD32" t="s">
        <v>682</v>
      </c>
      <c r="AE32" s="4">
        <f>Z9</f>
        <v>1.01</v>
      </c>
      <c r="AF32" s="4">
        <f>AA9</f>
        <v>1.3</v>
      </c>
      <c r="AG32" s="4">
        <f>AB9</f>
        <v>1.02</v>
      </c>
      <c r="AH32" t="str">
        <f>AJ41</f>
        <v>Symbolic</v>
      </c>
      <c r="AI32" s="7"/>
      <c r="AJ32" s="7"/>
      <c r="AK32" s="7"/>
    </row>
    <row r="33" spans="1:36" x14ac:dyDescent="0.25">
      <c r="A33" t="s">
        <v>78</v>
      </c>
      <c r="B33">
        <v>2</v>
      </c>
      <c r="C33" t="s">
        <v>13</v>
      </c>
      <c r="D33" t="s">
        <v>393</v>
      </c>
      <c r="E33" t="s">
        <v>394</v>
      </c>
      <c r="F33" s="1">
        <v>1.7361111111111111E-5</v>
      </c>
      <c r="G33" t="s">
        <v>16</v>
      </c>
      <c r="H33">
        <v>4</v>
      </c>
      <c r="I33">
        <v>74</v>
      </c>
      <c r="J33">
        <v>78</v>
      </c>
      <c r="L33" t="s">
        <v>17</v>
      </c>
      <c r="M33" s="3">
        <f t="shared" si="0"/>
        <v>1.4680002350360155</v>
      </c>
      <c r="O33" t="s">
        <v>644</v>
      </c>
      <c r="P33" t="str">
        <f>_xlfn.LET(
    _xlpm.sym_mean, P9,
    _xlpm.dsl_mean, Q9,
    _xlpm.norm_mean, R9,
    _xlpm.sym_risk, "🟡",
    _xlpm.dsl_risk, "🔴",
    _xlpm.norm_risk, "🔴",
    _xlpm.min_val, MIN(_xlpm.sym_mean, _xlpm.dsl_mean, _xlpm.norm_mean),
    _xlpm.tie_count, (_xlpm.sym_mean = _xlpm.min_val) + (_xlpm.dsl_mean = _xlpm.min_val) + (_xlpm.norm_mean = _xlpm.min_val),
    _xlpm.winner_format, IF(_xlpm.sym_mean = _xlpm.min_val, "Symbolic",
                     IF(_xlpm.dsl_mean = _xlpm.min_val, "DSL/JSON",
                        IF(_xlpm.norm_mean = _xlpm.min_val, "Normal", ""))),
    _xlpm.winner_risk, IF(_xlpm.sym_mean = _xlpm.min_val, _xlpm.sym_risk,
                   IF(_xlpm.dsl_mean = _xlpm.min_val, _xlpm.dsl_risk,
                      IF(_xlpm.norm_mean = _xlpm.min_val, _xlpm.norm_risk, ""))),
    IF(_xlpm.tie_count &gt; 1,
        "🤝 Tie",
        "🏆 " &amp; _xlpm.winner_format &amp; IF(_xlpm.winner_risk = "🟡", "⚠️", "")
    )
)</f>
        <v>🏆 Symbolic⚠️</v>
      </c>
      <c r="T33" t="s">
        <v>383</v>
      </c>
      <c r="U33" t="str">
        <f>_xlfn.LET(
   _xlpm.symbolic, Z10,
   _xlpm.dsl_json, AA10,
   _xlpm.normal, AB10,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Symbolic (1.01s)</v>
      </c>
      <c r="V33" t="str">
        <f>_xlfn.LET(
   _xlpm.symbolic, AJ10,
   _xlpm.dsl_json, AK10,
   _xlpm.normal, AL10,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Symbolic (1.04s)</v>
      </c>
      <c r="W33" t="str">
        <f>_xlfn.LET(
   _xlpm.symbolic_eligible, $Y$32,
   _xlpm.dsl_eligible, $Z$32,
   _xlpm.normal_eligible, $AA$32,
   _xlpm.symbolic_warning, $Y$36,
   _xlpm.dsl_warning, $Z$36,
   _xlpm.normal_warning, $AA$36,
   _xlpm.symbolic_w1, $P$34,
   _xlpm.symbolic_w2, $P$34,
   _xlpm.symbolic_mean, ($P$34*Z10 + $P$34*AJ10)/($P$34*2),
   _xlpm.dsl_w1, $P$34,
   _xlpm.dsl_w2, $P$34,
   _xlpm.dsl_mean, ($P$34*AA10 + $P$34*AK10)/($P$34*2),
   _xlpm.normal_w1, $P$34,
   _xlpm.normal_w2, $P$34,
   _xlpm.normal_mean, ($P$34*AB10 + $P$34*AL10)/($P$34*2),
   _xlpm.eligible_means, IF(_xlpm.symbolic_eligible, _xlpm.symbolic_mean, 999) &amp; "," &amp;
                    IF(_xlpm.dsl_eligible, _xlpm.dsl_mean, 999) &amp; "," &amp;
                    IF(_xlpm.normal_eligible, _xlpm.normal_mean, 999),
   _xlpm.fastest, MIN(IF(_xlpm.symbolic_eligible, _xlpm.symbolic_mean, 999),
                IF(_xlpm.dsl_eligible, _xlpm.dsl_mean, 999),
                IF(_xlpm.normal_eligible, _xlpm.normal_mean, 999)),
   _xlpm.tie_count, (IF(_xlpm.symbolic_eligible, IF(_xlpm.symbolic_mean=_xlpm.fastest,1,0),0)) +
              (IF(_xlpm.dsl_eligible, IF(_xlpm.dsl_mean=_xlpm.fastest,1,0),0)) +
              (IF(_xlpm.normal_eligible, IF(_xlpm.normal_mean=_xlpm.fastest,1,0),0)),
   _xlpm.value_text, IF(AND(_xlpm.symbolic_eligible, _xlpm.symbolic_mean=_xlpm.fastest), TEXT(_xlpm.symbolic_mean, "0.00"),
                 IF(AND(_xlpm.dsl_eligible, _xlpm.dsl_mean=_xlpm.fastest), TEXT(_xlpm.dsl_mean, "0.00"),
                 IF(AND(_xlpm.normal_eligible, _xlpm.normal_mean=_xlpm.fastest), TEXT(_xlpm.normal_mean, "0.00"), ""))),
   _xlpm.winner_text, IF(_xlpm.tie_count=0, "⚠️ No Eligible Formats",
                 IF(_xlpm.tie_count&gt;1, "🤝 Tie (" &amp; TEXT(_xlpm.fastest, "0.00") &amp; "s)",
                    IF(AND(_xlpm.symbolic_eligible, _xlpm.symbolic_mean=_xlpm.fastest),
                       "🏆 Symbolic" &amp; _xlpm.symbolic_warning &amp; " (" &amp; _xlpm.value_text &amp; "s)",
                       IF(AND(_xlpm.dsl_eligible, _xlpm.dsl_mean=_xlpm.fastest),
                          "🏆 DSL/JSON" &amp; _xlpm.dsl_warning &amp; " (" &amp; _xlpm.value_text &amp; "s)",
                          IF(AND(_xlpm.normal_eligible, _xlpm.normal_mean=_xlpm.fastest),
                             "🏆 Normal" &amp; _xlpm.normal_warning &amp; " (" &amp; _xlpm.value_text &amp; "s)",
                             "Error"))))),
   _xlpm.winner_text
)</f>
        <v>🏆 Symbolic⚠️ (1.03s)</v>
      </c>
      <c r="Y33" s="18"/>
      <c r="Z33" s="7"/>
      <c r="AB33" s="7"/>
      <c r="AD33" t="s">
        <v>683</v>
      </c>
      <c r="AE33" s="4">
        <f>AJ9</f>
        <v>1.03</v>
      </c>
      <c r="AF33" s="4">
        <f>AK9</f>
        <v>1.1100000000000001</v>
      </c>
      <c r="AG33" s="4">
        <f>AL9</f>
        <v>1.1299999999999999</v>
      </c>
      <c r="AH33" t="str">
        <f>AJ42</f>
        <v>Symbolic</v>
      </c>
    </row>
    <row r="34" spans="1:36" ht="16.5" x14ac:dyDescent="0.3">
      <c r="A34" t="s">
        <v>78</v>
      </c>
      <c r="B34">
        <v>3</v>
      </c>
      <c r="C34" t="s">
        <v>13</v>
      </c>
      <c r="D34" t="s">
        <v>395</v>
      </c>
      <c r="E34" t="s">
        <v>396</v>
      </c>
      <c r="F34" s="1">
        <v>1.3888888888888888E-5</v>
      </c>
      <c r="G34" t="s">
        <v>16</v>
      </c>
      <c r="H34">
        <v>4</v>
      </c>
      <c r="I34">
        <v>74</v>
      </c>
      <c r="J34">
        <v>78</v>
      </c>
      <c r="L34" t="s">
        <v>17</v>
      </c>
      <c r="M34" s="3">
        <f t="shared" si="0"/>
        <v>1.1980000650510192</v>
      </c>
      <c r="O34" t="s">
        <v>657</v>
      </c>
      <c r="P34">
        <v>8</v>
      </c>
      <c r="T34" t="s">
        <v>633</v>
      </c>
      <c r="U34" t="str">
        <f>_xlfn.LET(
   _xlpm.symbolic, Z13,
   _xlpm.dsl_json, AA13,
   _xlpm.normal, AB13,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Symbolic (0.96s)</v>
      </c>
      <c r="V34" t="str">
        <f>_xlfn.LET(
   _xlpm.symbolic, AJ13,
   _xlpm.dsl_json, AK13,
   _xlpm.normal, AL13,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Symbolic (1.00s)</v>
      </c>
      <c r="W34" t="str">
        <f>_xlfn.LET(
   _xlpm.symbolic_eligible, $Y$32,
   _xlpm.dsl_eligible, $Z$32,
   _xlpm.normal_eligible, $AA$32,
   _xlpm.symbolic_warning, $Y$36,
   _xlpm.dsl_warning, $Z$36,
   _xlpm.normal_warning, $AA$36,
   _xlpm.symbolic_w1, $P$34,
   _xlpm.symbolic_w2, $P$34,
   _xlpm.symbolic_mean, ($P$34*Z13 + $P$34*AJ13)/($P$34*2),
   _xlpm.dsl_w1, $P$34,
   _xlpm.dsl_w2, $P$34,
   _xlpm.dsl_mean, ($P$34*AA13 + $P$34*AK13)/($P$34*2),
   _xlpm.normal_w1, $P$34,
   _xlpm.normal_w2, $P$34,
   _xlpm.normal_mean, ($P$34*AB13 + $P$34*AL13)/($P$34*2),
   _xlpm.eligible_means, IF(_xlpm.symbolic_eligible, _xlpm.symbolic_mean, 999) &amp; "," &amp;
                    IF(_xlpm.dsl_eligible, _xlpm.dsl_mean, 999) &amp; "," &amp;
                    IF(_xlpm.normal_eligible, _xlpm.normal_mean, 999),
   _xlpm.fastest, MIN(IF(_xlpm.symbolic_eligible, _xlpm.symbolic_mean, 999),
                IF(_xlpm.dsl_eligible, _xlpm.dsl_mean, 999),
                IF(_xlpm.normal_eligible, _xlpm.normal_mean, 999)),
   _xlpm.tie_count, (IF(_xlpm.symbolic_eligible, IF(_xlpm.symbolic_mean=_xlpm.fastest,1,0),0)) +
              (IF(_xlpm.dsl_eligible, IF(_xlpm.dsl_mean=_xlpm.fastest,1,0),0)) +
              (IF(_xlpm.normal_eligible, IF(_xlpm.normal_mean=_xlpm.fastest,1,0),0)),
   _xlpm.value_text, IF(AND(_xlpm.symbolic_eligible, _xlpm.symbolic_mean=_xlpm.fastest), TEXT(_xlpm.symbolic_mean, "0.00"),
                 IF(AND(_xlpm.dsl_eligible, _xlpm.dsl_mean=_xlpm.fastest), TEXT(_xlpm.dsl_mean, "0.00"),
                 IF(AND(_xlpm.normal_eligible, _xlpm.normal_mean=_xlpm.fastest), TEXT(_xlpm.normal_mean, "0.00"), ""))),
   _xlpm.winner_text, IF(_xlpm.tie_count=0, "⚠️ No Eligible Formats",
                 IF(_xlpm.tie_count&gt;1, "🤝 Tie (" &amp; TEXT(_xlpm.fastest, "0.00") &amp; "s)",
                    IF(AND(_xlpm.symbolic_eligible, _xlpm.symbolic_mean=_xlpm.fastest),
                       "🏆 Symbolic" &amp; _xlpm.symbolic_warning &amp; " (" &amp; _xlpm.value_text &amp; "s)",
                       IF(AND(_xlpm.dsl_eligible, _xlpm.dsl_mean=_xlpm.fastest),
                          "🏆 DSL/JSON" &amp; _xlpm.dsl_warning &amp; " (" &amp; _xlpm.value_text &amp; "s)",
                          IF(AND(_xlpm.normal_eligible, _xlpm.normal_mean=_xlpm.fastest),
                             "🏆 Normal" &amp; _xlpm.normal_warning &amp; " (" &amp; _xlpm.value_text &amp; "s)",
                             "Error"))))),
   _xlpm.winner_text
)</f>
        <v>🏆 Symbolic⚠️ (0.98s)</v>
      </c>
      <c r="Y34" s="25" t="s">
        <v>671</v>
      </c>
      <c r="Z34" s="25"/>
      <c r="AA34" s="25"/>
      <c r="AB34" s="7"/>
      <c r="AD34" t="s">
        <v>644</v>
      </c>
      <c r="AE34" s="4">
        <f>SUM(AE32:AE33)/2</f>
        <v>1.02</v>
      </c>
      <c r="AF34" s="4">
        <f t="shared" ref="AF34:AG34" si="25">SUM(AF32:AF33)/2</f>
        <v>1.2050000000000001</v>
      </c>
      <c r="AG34" s="4">
        <f t="shared" si="25"/>
        <v>1.075</v>
      </c>
      <c r="AH34" t="str">
        <f>_xlfn.LET(
    _xlpm.sym_mean, Y44, _xlpm.sym_stability, AC44, _xlpm.sym_risk_m3, Z21, _xlpm.sym_risk_m5, AJ21,
    _xlpm.dsl_mean, Z44, _xlpm.dsl_stability, AD44, _xlpm.dsl_risk_m3, AA21, _xlpm.dsl_risk_m5, AK21,
    _xlpm.norm_mean, AA44, _xlpm.norm_stability, AE44, _xlpm.norm_risk_m3, AB21, _xlpm.norm_risk_m5, AL21,
    _xlpm.threshold, AJ55,
    _xlpm.min_mean, MIN(_xlpm.sym_mean, _xlpm.dsl_mean, _xlpm.norm_mean),
    _xlpm.tie_count, (_xlpm.sym_mean=_xlpm.min_mean)+(_xlpm.dsl_mean=_xlpm.min_mean)+(_xlpm.norm_mean=_xlpm.min_mean),
    _xlpm.all_tied, AND(ABS(_xlpm.sym_mean-_xlpm.dsl_mean)&lt;_xlpm.threshold, ABS(_xlpm.sym_mean-_xlpm.norm_mean)&lt;_xlpm.threshold, ABS(_xlpm.dsl_mean-_xlpm.norm_mean)&lt;_xlpm.threshold),
    IF(_xlpm.tie_count&gt;1,
        IF(_xlpm.all_tied,
            IF(AND(_xlpm.sym_stability&gt;=_xlpm.dsl_stability, _xlpm.sym_stability&gt;=_xlpm.norm_stability),
                "🏆 Symbolic" &amp; IF(OR(_xlpm.sym_risk_m3="🟡 MODERATE", _xlpm.sym_risk_m5="🟡 MODERATE"), "⚠️", "") &amp; " Conditional Winner (" &amp; TEXT(_xlpm.sym_mean,"0.00") &amp; "s)&lt;br&gt;&lt;sup&gt;⚖️ Three-way statistical tie | Symbolic wins on stability&lt;br&gt;&lt;/sup&gt;",
            IF(AND(_xlpm.dsl_stability&gt;=_xlpm.sym_stability, _xlpm.dsl_stability&gt;=_xlpm.norm_stability),
                "🏆 DSL/JSON" &amp; IF(OR(_xlpm.dsl_risk_m3="🟡 MODERATE", _xlpm.dsl_risk_m5="🟡 MODERATE"), "⚠️", "") &amp; " Conditional Winner (" &amp; TEXT(_xlpm.dsl_mean,"0.00") &amp; "s)&lt;br&gt;&lt;sup&gt;⚖️ Three-way statistical tie | DSL/JSON wins on stability&lt;br&gt;&lt;/sup&gt;",
                "🏆 Normal" &amp; IF(OR(_xlpm.norm_risk_m3="🟡 MODERATE", _xlpm.norm_risk_m5="🟡 MODERATE"), "⚠️", "") &amp; " Conditional Winner (" &amp; TEXT(_xlpm.norm_mean,"0.00") &amp; "s)&lt;br&gt;&lt;sup&gt;⚖️ Three-way statistical tie | Normal wins on stability&lt;br&gt;&lt;/sup&gt;")),
            "🏆 Need complex tie resolution"),
        IF(_xlpm.sym_mean=_xlpm.min_mean,
            "🏆 Symbolic" &amp; IF(OR(_xlpm.sym_risk_m3="🟡 MODERATE", _xlpm.sym_risk_m5="🟡 MODERATE"), "⚠️", "") &amp; " (" &amp; TEXT(_xlpm.sym_mean,"0.00") &amp; "s)",
        IF(_xlpm.dsl_mean=_xlpm.min_mean,
            "🏆 DSL/JSON" &amp; IF(OR(_xlpm.dsl_risk_m3="🟡 MODERATE", _xlpm.dsl_risk_m5="🟡 MODERATE"), "⚠️", "") &amp; " (" &amp; TEXT(_xlpm.dsl_mean,"0.00") &amp; "s)",
            "🏆 Normal" &amp; IF(OR(_xlpm.norm_risk_m3="🟡 MODERATE", _xlpm.norm_risk_m5="🟡 MODERATE"), "⚠️", "") &amp; " (" &amp; TEXT(_xlpm.norm_mean,"0.00") &amp; "s)")))
)</f>
        <v>🏆 Symbolic⚠️ (1.02s)</v>
      </c>
    </row>
    <row r="35" spans="1:36" x14ac:dyDescent="0.25">
      <c r="A35" t="s">
        <v>78</v>
      </c>
      <c r="B35">
        <v>4</v>
      </c>
      <c r="C35" t="s">
        <v>13</v>
      </c>
      <c r="D35" t="s">
        <v>397</v>
      </c>
      <c r="E35" t="s">
        <v>398</v>
      </c>
      <c r="F35" s="1">
        <v>1.8518518518518518E-5</v>
      </c>
      <c r="G35" t="s">
        <v>16</v>
      </c>
      <c r="H35">
        <v>4</v>
      </c>
      <c r="I35">
        <v>74</v>
      </c>
      <c r="J35">
        <v>78</v>
      </c>
      <c r="L35" t="s">
        <v>17</v>
      </c>
      <c r="M35" s="3">
        <f t="shared" si="0"/>
        <v>1.5909998444840312</v>
      </c>
      <c r="O35" t="s">
        <v>658</v>
      </c>
      <c r="P35">
        <f>($P$34*Z9+AJ9*$P$34)/($P$34*2)</f>
        <v>1.02</v>
      </c>
      <c r="T35" t="s">
        <v>674</v>
      </c>
      <c r="U35" t="str">
        <f>_xlfn.LET(
   _xlpm.symbolic, Z14,
   _xlpm.dsl_json, AA14,
   _xlpm.normal, AB14,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Normal (1.04s)</v>
      </c>
      <c r="V35" t="str">
        <f>_xlfn.LET(
   _xlpm.symbolic, AJ14,
   _xlpm.dsl_json, AK14,
   _xlpm.normal, AL14,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Symbolic (1.06s)</v>
      </c>
      <c r="W35" t="str">
        <f>_xlfn.LET(
   _xlpm.symbolic_eligible, $Y$32,
   _xlpm.dsl_eligible, $Z$32,
   _xlpm.normal_eligible, $AA$32,
   _xlpm.symbolic_warning, $Y$36,
   _xlpm.dsl_warning, $Z$36,
   _xlpm.normal_warning, $AA$36,
   _xlpm.symbolic_w1, $P$34,
   _xlpm.symbolic_w2, $P$34,
   _xlpm.symbolic_mean, ($P$34*Z14 + $P$34*AJ14)/($P$34*2),
   _xlpm.dsl_w1, $P$34,
   _xlpm.dsl_w2, $P$34,
   _xlpm.dsl_mean, ($P$34*AA14 + $P$34*AK14)/($P$34*2),
   _xlpm.normal_w1, $P$34,
   _xlpm.normal_w2, $P$34,
   _xlpm.normal_mean, ($P$34*AB14 + $P$34*AL14)/($P$34*2),
   _xlpm.eligible_means, IF(_xlpm.symbolic_eligible, _xlpm.symbolic_mean, 999) &amp; "," &amp;
                    IF(_xlpm.dsl_eligible, _xlpm.dsl_mean, 999) &amp; "," &amp;
                    IF(_xlpm.normal_eligible, _xlpm.normal_mean, 999),
   _xlpm.fastest, MIN(IF(_xlpm.symbolic_eligible, _xlpm.symbolic_mean, 999),
                IF(_xlpm.dsl_eligible, _xlpm.dsl_mean, 999),
                IF(_xlpm.normal_eligible, _xlpm.normal_mean, 999)),
   _xlpm.tie_count, (IF(_xlpm.symbolic_eligible, IF(_xlpm.symbolic_mean=_xlpm.fastest,1,0),0)) +
              (IF(_xlpm.dsl_eligible, IF(_xlpm.dsl_mean=_xlpm.fastest,1,0),0)) +
              (IF(_xlpm.normal_eligible, IF(_xlpm.normal_mean=_xlpm.fastest,1,0),0)),
   _xlpm.value_text, IF(AND(_xlpm.symbolic_eligible, _xlpm.symbolic_mean=_xlpm.fastest), TEXT(_xlpm.symbolic_mean, "0.00"),
                 IF(AND(_xlpm.dsl_eligible, _xlpm.dsl_mean=_xlpm.fastest), TEXT(_xlpm.dsl_mean, "0.00"),
                 IF(AND(_xlpm.normal_eligible, _xlpm.normal_mean=_xlpm.fastest), TEXT(_xlpm.normal_mean, "0.00"), ""))),
   _xlpm.winner_text, IF(_xlpm.tie_count=0, "⚠️ No Eligible Formats",
                 IF(_xlpm.tie_count&gt;1, "🤝 Tie (" &amp; TEXT(_xlpm.fastest, "0.00") &amp; "s)",
                    IF(AND(_xlpm.symbolic_eligible, _xlpm.symbolic_mean=_xlpm.fastest),
                       "🏆 Symbolic" &amp; _xlpm.symbolic_warning &amp; " (" &amp; _xlpm.value_text &amp; "s)",
                       IF(AND(_xlpm.dsl_eligible, _xlpm.dsl_mean=_xlpm.fastest),
                          "🏆 DSL/JSON" &amp; _xlpm.dsl_warning &amp; " (" &amp; _xlpm.value_text &amp; "s)",
                          IF(AND(_xlpm.normal_eligible, _xlpm.normal_mean=_xlpm.fastest),
                             "🏆 Normal" &amp; _xlpm.normal_warning &amp; " (" &amp; _xlpm.value_text &amp; "s)",
                             "Error"))))),
   _xlpm.winner_text
)</f>
        <v>🏆 Symbolic⚠️ (1.07s)</v>
      </c>
      <c r="Y35" s="21" t="s">
        <v>668</v>
      </c>
      <c r="Z35" s="21" t="s">
        <v>669</v>
      </c>
      <c r="AA35" s="21" t="s">
        <v>670</v>
      </c>
      <c r="AE35" s="4"/>
      <c r="AF35" s="4"/>
      <c r="AG35" s="4"/>
      <c r="AI35" s="23" t="s">
        <v>686</v>
      </c>
      <c r="AJ35" s="23"/>
    </row>
    <row r="36" spans="1:36" x14ac:dyDescent="0.25">
      <c r="A36" t="s">
        <v>78</v>
      </c>
      <c r="B36">
        <v>5</v>
      </c>
      <c r="C36" t="s">
        <v>13</v>
      </c>
      <c r="D36" t="s">
        <v>399</v>
      </c>
      <c r="E36" t="s">
        <v>400</v>
      </c>
      <c r="F36" s="1">
        <v>1.7361111111111111E-5</v>
      </c>
      <c r="G36" t="s">
        <v>16</v>
      </c>
      <c r="H36">
        <v>4</v>
      </c>
      <c r="I36">
        <v>74</v>
      </c>
      <c r="J36">
        <v>78</v>
      </c>
      <c r="L36" t="s">
        <v>17</v>
      </c>
      <c r="M36" s="3">
        <f t="shared" si="0"/>
        <v>1.4559994451701641</v>
      </c>
      <c r="O36" t="s">
        <v>659</v>
      </c>
      <c r="P36">
        <f>($P$34*AA9+AK9*$P$34)/($P$34*2)</f>
        <v>1.2050000000000001</v>
      </c>
      <c r="T36" t="s">
        <v>675</v>
      </c>
      <c r="U36" t="str">
        <f>_xlfn.LET(
   _xlpm.symbolic, Z15,
   _xlpm.dsl_json, AA15,
   _xlpm.normal, AB15,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Normal (0.02s)</v>
      </c>
      <c r="V36" t="str">
        <f>_xlfn.LET(
   _xlpm.symbolic, AJ15,
   _xlpm.dsl_json, AK15,
   _xlpm.normal, AL15,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Symbolic (0.02s)</v>
      </c>
      <c r="W36" t="str">
        <f>_xlfn.LET(
   _xlpm.symbolic_eligible, $Y$32,
   _xlpm.dsl_eligible, $Z$32,
   _xlpm.normal_eligible, $AA$32,
   _xlpm.symbolic_warning, $Y$36,
   _xlpm.dsl_warning, $Z$36,
   _xlpm.normal_warning, $AA$36,
   _xlpm.symbolic_w1, $P$34,
   _xlpm.symbolic_w2, $P$34,
   _xlpm.symbolic_mean, ($P$34*Z15 + $P$34*AJ15)/($P$34*2),
   _xlpm.dsl_w1, $P$34,
   _xlpm.dsl_w2, $P$34,
   _xlpm.dsl_mean, ($P$34*AA15 + $P$34*AK15)/($P$34*2),
   _xlpm.normal_w1, $P$34,
   _xlpm.normal_w2, $P$34,
   _xlpm.normal_mean, ($P$34*AB15 + $P$34*AL15)/($P$34*2),
   _xlpm.eligible_means, IF(_xlpm.symbolic_eligible, _xlpm.symbolic_mean, 999) &amp; "," &amp;
                    IF(_xlpm.dsl_eligible, _xlpm.dsl_mean, 999) &amp; "," &amp;
                    IF(_xlpm.normal_eligible, _xlpm.normal_mean, 999),
   _xlpm.fastest, MIN(IF(_xlpm.symbolic_eligible, _xlpm.symbolic_mean, 999),
                IF(_xlpm.dsl_eligible, _xlpm.dsl_mean, 999),
                IF(_xlpm.normal_eligible, _xlpm.normal_mean, 999)),
   _xlpm.tie_count, (IF(_xlpm.symbolic_eligible, IF(_xlpm.symbolic_mean=_xlpm.fastest,1,0),0)) +
              (IF(_xlpm.dsl_eligible, IF(_xlpm.dsl_mean=_xlpm.fastest,1,0),0)) +
              (IF(_xlpm.normal_eligible, IF(_xlpm.normal_mean=_xlpm.fastest,1,0),0)),
   _xlpm.value_text, IF(AND(_xlpm.symbolic_eligible, _xlpm.symbolic_mean=_xlpm.fastest), TEXT(_xlpm.symbolic_mean, "0.00"),
                 IF(AND(_xlpm.dsl_eligible, _xlpm.dsl_mean=_xlpm.fastest), TEXT(_xlpm.dsl_mean, "0.00"),
                 IF(AND(_xlpm.normal_eligible, _xlpm.normal_mean=_xlpm.fastest), TEXT(_xlpm.normal_mean, "0.00"), ""))),
   _xlpm.winner_text, IF(_xlpm.tie_count=0, "⚠️ No Eligible Formats",
                 IF(_xlpm.tie_count&gt;1, "🤝 Tie (" &amp; TEXT(_xlpm.fastest, "0.00") &amp; "s)",
                    IF(AND(_xlpm.symbolic_eligible, _xlpm.symbolic_mean=_xlpm.fastest),
                       "🏆 Symbolic" &amp; _xlpm.symbolic_warning &amp; " (" &amp; _xlpm.value_text &amp; "s)",
                       IF(AND(_xlpm.dsl_eligible, _xlpm.dsl_mean=_xlpm.fastest),
                          "🏆 DSL/JSON" &amp; _xlpm.dsl_warning &amp; " (" &amp; _xlpm.value_text &amp; "s)",
                          IF(AND(_xlpm.normal_eligible, _xlpm.normal_mean=_xlpm.fastest),
                             "🏆 Normal" &amp; _xlpm.normal_warning &amp; " (" &amp; _xlpm.value_text &amp; "s)",
                             "Error"))))),
   _xlpm.winner_text
)</f>
        <v>🏆 Symbolic⚠️ (0.03s)</v>
      </c>
      <c r="Y36" s="22" t="str">
        <f>IF(AND(Y32=TRUE,OR(Z21="🟡 MODERATE",AJ21="🟡 MODERATE")), "⚠️", "")</f>
        <v>⚠️</v>
      </c>
      <c r="Z36" s="22" t="str">
        <f t="shared" ref="Z36:AA36" si="26">IF(AND(Z32=TRUE,OR(AA21="🟡 MODERATE",AK21="🟡 MODERATE")), "⚠️", "")</f>
        <v/>
      </c>
      <c r="AA36" s="22" t="str">
        <f t="shared" si="26"/>
        <v/>
      </c>
      <c r="AE36" s="4"/>
      <c r="AF36" s="4"/>
      <c r="AG36" s="4"/>
      <c r="AI36" t="s">
        <v>687</v>
      </c>
      <c r="AJ36" t="s">
        <v>688</v>
      </c>
    </row>
    <row r="37" spans="1:36" x14ac:dyDescent="0.25">
      <c r="A37" t="s">
        <v>78</v>
      </c>
      <c r="B37">
        <v>6</v>
      </c>
      <c r="C37" t="s">
        <v>13</v>
      </c>
      <c r="D37" t="s">
        <v>401</v>
      </c>
      <c r="E37" t="s">
        <v>402</v>
      </c>
      <c r="F37" s="1">
        <v>1.7361111111111111E-5</v>
      </c>
      <c r="G37" t="s">
        <v>16</v>
      </c>
      <c r="H37">
        <v>4</v>
      </c>
      <c r="I37">
        <v>74</v>
      </c>
      <c r="J37">
        <v>78</v>
      </c>
      <c r="L37" t="s">
        <v>17</v>
      </c>
      <c r="M37" s="3">
        <f t="shared" si="0"/>
        <v>1.5409994870424271</v>
      </c>
      <c r="O37" t="s">
        <v>660</v>
      </c>
      <c r="P37">
        <f>($P$34*AB9+AL9*$P$34)/($P$34*2)</f>
        <v>1.075</v>
      </c>
      <c r="T37" t="s">
        <v>676</v>
      </c>
      <c r="U37" t="str">
        <f>_xlfn.LET(
   _xlpm.symbolic, Z17,
   _xlpm.dsl_json, AA17,
   _xlpm.normal, AB17,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Normal (1.04s)</v>
      </c>
      <c r="V37" t="str">
        <f>_xlfn.LET(
   _xlpm.symbolic, AJ17,
   _xlpm.dsl_json, AK17,
   _xlpm.normal, AL17,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Symbolic (1.06s)</v>
      </c>
      <c r="W37" t="str">
        <f>_xlfn.LET(
   _xlpm.symbolic_eligible, $Y$32,
   _xlpm.dsl_eligible, $Z$32,
   _xlpm.normal_eligible, $AA$32,
   _xlpm.symbolic_warning, $Y$36,
   _xlpm.dsl_warning, $Z$36,
   _xlpm.normal_warning, $AA$36,
   _xlpm.symbolic_w1, $P$34,
   _xlpm.symbolic_w2, $P$34,
   _xlpm.symbolic_mean, ($P$34*Z17 + $P$34*AJ17)/($P$34*2),
   _xlpm.dsl_w1, $P$34,
   _xlpm.dsl_w2, $P$34,
   _xlpm.dsl_mean, ($P$34*AA17 + $P$34*AK17)/($P$34*2),
   _xlpm.normal_w1, $P$34,
   _xlpm.normal_w2, $P$34,
   _xlpm.normal_mean, ($P$34*AB17 + $P$34*AL17)/($P$34*2),
   _xlpm.eligible_means, IF(_xlpm.symbolic_eligible, _xlpm.symbolic_mean, 999) &amp; "," &amp;
                    IF(_xlpm.dsl_eligible, _xlpm.dsl_mean, 999) &amp; "," &amp;
                    IF(_xlpm.normal_eligible, _xlpm.normal_mean, 999),
   _xlpm.fastest, MIN(IF(_xlpm.symbolic_eligible, _xlpm.symbolic_mean, 999),
                IF(_xlpm.dsl_eligible, _xlpm.dsl_mean, 999),
                IF(_xlpm.normal_eligible, _xlpm.normal_mean, 999)),
   _xlpm.tie_count, (IF(_xlpm.symbolic_eligible, IF(_xlpm.symbolic_mean=_xlpm.fastest,1,0),0)) +
              (IF(_xlpm.dsl_eligible, IF(_xlpm.dsl_mean=_xlpm.fastest,1,0),0)) +
              (IF(_xlpm.normal_eligible, IF(_xlpm.normal_mean=_xlpm.fastest,1,0),0)),
   _xlpm.value_text, IF(AND(_xlpm.symbolic_eligible, _xlpm.symbolic_mean=_xlpm.fastest), TEXT(_xlpm.symbolic_mean, "0.00"),
                 IF(AND(_xlpm.dsl_eligible, _xlpm.dsl_mean=_xlpm.fastest), TEXT(_xlpm.dsl_mean, "0.00"),
                 IF(AND(_xlpm.normal_eligible, _xlpm.normal_mean=_xlpm.fastest), TEXT(_xlpm.normal_mean, "0.00"), ""))),
   _xlpm.winner_text, IF(_xlpm.tie_count=0, "⚠️ No Eligible Formats",
                 IF(_xlpm.tie_count&gt;1, "🤝 Tie (" &amp; TEXT(_xlpm.fastest, "0.00") &amp; "s)",
                    IF(AND(_xlpm.symbolic_eligible, _xlpm.symbolic_mean=_xlpm.fastest),
                       "🏆 Symbolic" &amp; _xlpm.symbolic_warning &amp; " (" &amp; _xlpm.value_text &amp; "s)",
                       IF(AND(_xlpm.dsl_eligible, _xlpm.dsl_mean=_xlpm.fastest),
                          "🏆 DSL/JSON" &amp; _xlpm.dsl_warning &amp; " (" &amp; _xlpm.value_text &amp; "s)",
                          IF(AND(_xlpm.normal_eligible, _xlpm.normal_mean=_xlpm.fastest),
                             "🏆 Normal" &amp; _xlpm.normal_warning &amp; " (" &amp; _xlpm.value_text &amp; "s)",
                             "Error"))))),
   _xlpm.winner_text
)</f>
        <v>🏆 Symbolic⚠️ (1.06s)</v>
      </c>
      <c r="Z37" s="7"/>
      <c r="AE37" s="4"/>
      <c r="AF37" s="4"/>
      <c r="AG37" s="4"/>
      <c r="AI37" t="s">
        <v>689</v>
      </c>
      <c r="AJ37">
        <f>MIN(IF(AND(Y32=TRUE, Y40="✅ ELIGIBLE"), Y44, 9999),
     IF(AND(Z32=TRUE, Z40="✅ ELIGIBLE"), Z44, 9999),
     IF(AND(AA32=TRUE, AA40="✅ ELIGIBLE"), AA44, 9999))</f>
        <v>1.02</v>
      </c>
    </row>
    <row r="38" spans="1:36" x14ac:dyDescent="0.25">
      <c r="A38" t="s">
        <v>78</v>
      </c>
      <c r="B38">
        <v>7</v>
      </c>
      <c r="C38" t="s">
        <v>13</v>
      </c>
      <c r="D38" t="s">
        <v>403</v>
      </c>
      <c r="E38" t="s">
        <v>404</v>
      </c>
      <c r="F38" s="1">
        <v>1.8518518518518518E-5</v>
      </c>
      <c r="G38" t="s">
        <v>16</v>
      </c>
      <c r="H38">
        <v>4</v>
      </c>
      <c r="I38">
        <v>74</v>
      </c>
      <c r="J38">
        <v>78</v>
      </c>
      <c r="L38" t="s">
        <v>17</v>
      </c>
      <c r="M38" s="3">
        <f t="shared" si="0"/>
        <v>1.567000150680542</v>
      </c>
      <c r="O38" t="s">
        <v>661</v>
      </c>
      <c r="P38">
        <f>MIN(P9:R9)*0.05</f>
        <v>5.2000000000000005E-2</v>
      </c>
      <c r="T38" t="s">
        <v>677</v>
      </c>
      <c r="U38" t="str">
        <f>_xlfn.LET(
   _xlpm.symbolic, Z19,
   _xlpm.dsl_json, AA19,
   _xlpm.normal, AB19,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Normal (0.02s)</v>
      </c>
      <c r="V38" t="str">
        <f>_xlfn.LET(
   _xlpm.symbolic, AJ19,
   _xlpm.dsl_json, AK19,
   _xlpm.normal, AL19,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Symbolic (0.04s)</v>
      </c>
      <c r="W38" t="str">
        <f>_xlfn.LET(
   _xlpm.symbolic_eligible, $Y$32,
   _xlpm.dsl_eligible, $Z$32,
   _xlpm.normal_eligible, $AA$32,
   _xlpm.symbolic_warning, $Y$36,
   _xlpm.dsl_warning, $Z$36,
   _xlpm.normal_warning, $AA$36,
   _xlpm.symbolic_w1, $P$34,
   _xlpm.symbolic_w2, $P$34,
   _xlpm.symbolic_mean, ($P$34*Z19 + $P$34*AJ19)/($P$34*2),
   _xlpm.dsl_w1, $P$34,
   _xlpm.dsl_w2, $P$34,
   _xlpm.dsl_mean, ($P$34*AA19 + $P$34*AK19)/($P$34*2),
   _xlpm.normal_w1, $P$34,
   _xlpm.normal_w2, $P$34,
   _xlpm.normal_mean, ($P$34*AB19 + $P$34*AL19)/($P$34*2),
   _xlpm.eligible_means, IF(_xlpm.symbolic_eligible, _xlpm.symbolic_mean, 999) &amp; "," &amp;
                    IF(_xlpm.dsl_eligible, _xlpm.dsl_mean, 999) &amp; "," &amp;
                    IF(_xlpm.normal_eligible, _xlpm.normal_mean, 999),
   _xlpm.fastest, MIN(IF(_xlpm.symbolic_eligible, _xlpm.symbolic_mean, 999),
                IF(_xlpm.dsl_eligible, _xlpm.dsl_mean, 999),
                IF(_xlpm.normal_eligible, _xlpm.normal_mean, 999)),
   _xlpm.tie_count, (IF(_xlpm.symbolic_eligible, IF(_xlpm.symbolic_mean=_xlpm.fastest,1,0),0)) +
              (IF(_xlpm.dsl_eligible, IF(_xlpm.dsl_mean=_xlpm.fastest,1,0),0)) +
              (IF(_xlpm.normal_eligible, IF(_xlpm.normal_mean=_xlpm.fastest,1,0),0)),
   _xlpm.value_text, IF(AND(_xlpm.symbolic_eligible, _xlpm.symbolic_mean=_xlpm.fastest), TEXT(_xlpm.symbolic_mean, "0.00"),
                 IF(AND(_xlpm.dsl_eligible, _xlpm.dsl_mean=_xlpm.fastest), TEXT(_xlpm.dsl_mean, "0.00"),
                 IF(AND(_xlpm.normal_eligible, _xlpm.normal_mean=_xlpm.fastest), TEXT(_xlpm.normal_mean, "0.00"), ""))),
   _xlpm.winner_text, IF(_xlpm.tie_count=0, "⚠️ No Eligible Formats",
                 IF(_xlpm.tie_count&gt;1, "🤝 Tie (" &amp; TEXT(_xlpm.fastest, "0.00") &amp; "s)",
                    IF(AND(_xlpm.symbolic_eligible, _xlpm.symbolic_mean=_xlpm.fastest),
                       "🏆 Symbolic" &amp; _xlpm.symbolic_warning &amp; " (" &amp; _xlpm.value_text &amp; "s)",
                       IF(AND(_xlpm.dsl_eligible, _xlpm.dsl_mean=_xlpm.fastest),
                          "🏆 DSL/JSON" &amp; _xlpm.dsl_warning &amp; " (" &amp; _xlpm.value_text &amp; "s)",
                          IF(AND(_xlpm.normal_eligible, _xlpm.normal_mean=_xlpm.fastest),
                             "🏆 Normal" &amp; _xlpm.normal_warning &amp; " (" &amp; _xlpm.value_text &amp; "s)",
                             "Error"))))),
   _xlpm.winner_text
)</f>
        <v>🏆 Symbolic⚠️ (0.04s)</v>
      </c>
      <c r="Y38" s="24" t="s">
        <v>684</v>
      </c>
      <c r="Z38" s="24"/>
      <c r="AA38" s="24"/>
      <c r="AE38" s="4"/>
      <c r="AF38" s="4"/>
      <c r="AG38" s="4"/>
      <c r="AI38" t="s">
        <v>690</v>
      </c>
      <c r="AJ38">
        <f>ROUND(AJ37 * 0.05,2)</f>
        <v>0.05</v>
      </c>
    </row>
    <row r="39" spans="1:36" x14ac:dyDescent="0.25">
      <c r="A39" t="s">
        <v>78</v>
      </c>
      <c r="B39">
        <v>8</v>
      </c>
      <c r="C39" t="s">
        <v>13</v>
      </c>
      <c r="D39" t="s">
        <v>405</v>
      </c>
      <c r="E39" t="s">
        <v>406</v>
      </c>
      <c r="F39" s="1">
        <v>2.0833333333333333E-5</v>
      </c>
      <c r="G39" t="s">
        <v>16</v>
      </c>
      <c r="H39">
        <v>4</v>
      </c>
      <c r="I39">
        <v>74</v>
      </c>
      <c r="J39">
        <v>78</v>
      </c>
      <c r="L39" t="s">
        <v>17</v>
      </c>
      <c r="M39" s="3">
        <f t="shared" si="0"/>
        <v>1.8309999257326126</v>
      </c>
      <c r="O39" t="s">
        <v>647</v>
      </c>
      <c r="P39" t="str">
        <f>_xlfn.LET(
    _xlpm.sym_mean, P9,
    _xlpm.dsl_mean, Q9,
    _xlpm.norm_mean, R9,
    _xlpm.sym_iqr_m3, Z20,
    _xlpm.dsl_iqr_m3, AA20,
    _xlpm.norm_iqr_m3, AB20,
    _xlpm.sym_p95_m3, Z17,
    _xlpm.dsl_p95_m3, AA17,
    _xlpm.norm_p95_m3, AB17,
    _xlpm.sym_iqr_m5, AJ20,
    _xlpm.dsl_iqr_m5, AK20,
    _xlpm.norm_iqr_m5, AL20,
    _xlpm.sym_p95_m5, AJ17,
    _xlpm.dsl_p95_m5, AK17,
    _xlpm.norm_p95_m5, AL17,
    _xlpm.t_m3, AB28,
    _xlpm.t_m5, AL28,
    _xlpm.threshold, P38,
    _xlpm.sym_risk_m3, IF(_xlpm.sym_iqr_m3 &lt; 20, "✅",
                   IF(AND(_xlpm.sym_iqr_m3 &gt;= 20, _xlpm.sym_iqr_m3 &lt; 30),
                       IF(_xlpm.sym_p95_m3 &lt; _xlpm.t_m3, "🟡", "🔴"),
                       IF(AND(_xlpm.sym_iqr_m3 &gt;= 30, _xlpm.sym_iqr_m3 &lt;= 50), "🔴",
                           IF(_xlpm.sym_iqr_m3 &gt; 50, "🚨", "⚠️")))),
    _xlpm.dsl_risk_m3, IF(_xlpm.dsl_iqr_m3 &lt; 20, "✅",
                   IF(AND(_xlpm.dsl_iqr_m3 &gt;= 20, _xlpm.dsl_iqr_m3 &lt; 30),
                       IF(_xlpm.dsl_p95_m3 &lt; _xlpm.t_m3, "🟡", "🔴"),
                       IF(AND(_xlpm.dsl_iqr_m3 &gt;= 30, _xlpm.dsl_iqr_m3 &lt;= 50), "🔴",
                           IF(_xlpm.dsl_iqr_m3 &gt; 50, "🚨", "⚠️")))),
    _xlpm.norm_risk_m3, IF(_xlpm.norm_iqr_m3 &lt; 20, "✅",
                    IF(AND(_xlpm.norm_iqr_m3 &gt;= 20, _xlpm.norm_iqr_m3 &lt; 30),
                        IF(_xlpm.norm_p95_m3 &lt; _xlpm.t_m3, "🟡", "🔴"),
                        IF(AND(_xlpm.norm_iqr_m3 &gt;= 30, _xlpm.norm_iqr_m3 &lt;= 50), "🔴",
                            IF(_xlpm.norm_iqr_m3 &gt; 50, "🚨", "⚠️")))),
    _xlpm.sym_risk_m5, IF(_xlpm.sym_iqr_m5 &lt; 20, "✅",
                   IF(AND(_xlpm.sym_iqr_m5 &gt;= 20, _xlpm.sym_iqr_m5 &lt; 30),
                       IF(_xlpm.sym_p95_m5 &lt; _xlpm.t_m5, "🟡", "🔴"),
                       IF(AND(_xlpm.sym_iqr_m5 &gt;= 30, _xlpm.sym_iqr_m5 &lt;= 50), "🔴",
                           IF(_xlpm.sym_iqr_m5 &gt; 50, "🚨", "⚠️")))),
    _xlpm.dsl_risk_m5, IF(_xlpm.dsl_iqr_m5 &lt; 20, "✅",
                   IF(AND(_xlpm.dsl_iqr_m5 &gt;= 20, _xlpm.dsl_iqr_m5 &lt; 30),
                       IF(_xlpm.dsl_p95_m5 &lt; _xlpm.t_m5, "🟡", "🔴"),
                       IF(AND(_xlpm.dsl_iqr_m5 &gt;= 30, _xlpm.dsl_iqr_m5 &lt;= 50), "🔴",
                           IF(_xlpm.dsl_iqr_m5 &gt; 50, "🚨", "⚠️")))),
    _xlpm.norm_risk_m5, IF(_xlpm.norm_iqr_m5 &lt; 20, "✅",
                    IF(AND(_xlpm.norm_iqr_m5 &gt;= 20, _xlpm.norm_iqr_m5 &lt; 30),
                        IF(_xlpm.norm_p95_m5 &lt; _xlpm.t_m5, "🟡", "🔴"),
                        IF(AND(_xlpm.norm_iqr_m5 &gt;= 30, _xlpm.norm_iqr_m5 &lt;= 50), "🔴",
                            IF(_xlpm.norm_iqr_m5 &gt; 50, "🚨", "⚠️")))),
    _xlpm.sym_eligible, AND(_xlpm.sym_risk_m3 &lt;&gt; "🔴", _xlpm.sym_risk_m3 &lt;&gt; "🚨",
                     _xlpm.sym_risk_m5 &lt;&gt; "🔴", _xlpm.sym_risk_m5 &lt;&gt; "🚨"),
    _xlpm.dsl_eligible, AND(_xlpm.dsl_risk_m3 &lt;&gt; "🔴", _xlpm.dsl_risk_m3 &lt;&gt; "🚨",
                     _xlpm.dsl_risk_m5 &lt;&gt; "🔴", _xlpm.dsl_risk_m5 &lt;&gt; "🚨"),
    _xlpm.norm_eligible, AND(_xlpm.norm_risk_m3 &lt;&gt; "🔴", _xlpm.norm_risk_m3 &lt;&gt; "🚨",
                      _xlpm.norm_risk_m5 &lt;&gt; "🔴", _xlpm.norm_risk_m5 &lt;&gt; "🚨"),
    _xlpm.min_eligible, MIN(
        IF(_xlpm.sym_eligible, _xlpm.sym_mean, 9999),
        IF(_xlpm.dsl_eligible, _xlpm.dsl_mean, 9999),
        IF(_xlpm.norm_eligible, _xlpm.norm_mean, 9999)
    ),
    _xlpm.tie_count, (_xlpm.sym_eligible * (_xlpm.sym_mean = _xlpm.min_eligible)) +
               (_xlpm.dsl_eligible * (_xlpm.dsl_mean = _xlpm.min_eligible)) +
               (_xlpm.norm_eligible * (_xlpm.norm_mean = _xlpm.min_eligible)),
    _xlpm.second_best, MIN(
        IF(_xlpm.sym_eligible * (_xlpm.sym_mean &gt; _xlpm.min_eligible), _xlpm.sym_mean, 9999),
        IF(_xlpm.dsl_eligible * (_xlpm.dsl_mean &gt; _xlpm.min_eligible), _xlpm.dsl_mean, 9999),
        IF(_xlpm.norm_eligible * (_xlpm.norm_mean &gt; _xlpm.min_eligible), _xlpm.norm_mean, 9999)
    ),
    _xlpm.diff, _xlpm.second_best - _xlpm.min_eligible,
    _xlpm.sym_risk_combined, IF(OR(_xlpm.sym_risk_m3 = "🔴", _xlpm.sym_risk_m3 = "🚨",
                            _xlpm.sym_risk_m5 = "🔴", _xlpm.sym_risk_m5 = "🚨"), "🔴",
                         IF(OR(_xlpm.sym_risk_m3 = "🟡", _xlpm.sym_risk_m5 = "🟡"), "🟡", "✅")),
    _xlpm.dsl_risk_combined, IF(OR(_xlpm.dsl_risk_m3 = "🔴", _xlpm.dsl_risk_m3 = "🚨",
                            _xlpm.dsl_risk_m5 = "🔴", _xlpm.dsl_risk_m5 = "🚨"), "🔴",
                         IF(OR(_xlpm.dsl_risk_m3 = "🟡", _xlpm.dsl_risk_m5 = "🟡"), "🟡", "✅")),
    _xlpm.norm_risk_combined, IF(OR(_xlpm.norm_risk_m3 = "🔴", _xlpm.norm_risk_m3 = "🚨",
                             _xlpm.norm_risk_m5 = "🔴", _xlpm.norm_risk_m5 = "🚨"), "🔴",
                          IF(OR(_xlpm.norm_risk_m3 = "🟡", _xlpm.norm_risk_m5 = "🟡"), "🟡", "✅")),
    _xlpm.winner_text, IF(_xlpm.sym_eligible * (_xlpm.sym_mean = _xlpm.min_eligible),
                    "Symbolic" &amp; IF(_xlpm.sym_risk_combined = "🟡", "⚠️", ""),
                   IF(_xlpm.dsl_eligible * (_xlpm.dsl_mean = _xlpm.min_eligible),
                    "DSL/JSON" &amp; IF(_xlpm.dsl_risk_combined = "🟡", "⚠️", ""),
                   IF(_xlpm.norm_eligible * (_xlpm.norm_mean = _xlpm.min_eligible),
                    "Normal" &amp; IF(_xlpm.norm_risk_combined = "🟡", "⚠️", ""), ""))),
    IF(_xlpm.min_eligible = 9999,
        "⚠️ No Eligible Formats",
        IF(_xlpm.tie_count &gt; 1,
            "⚖️ Statistical Tie†",
            IF(_xlpm.diff &lt; _xlpm.threshold,
                "⚖️ Statistical Tie†",
                "🏆 " &amp; _xlpm.winner_text
            )
        )
    )
)</f>
        <v>🏆 Symbolic⚠️</v>
      </c>
      <c r="T39" t="s">
        <v>678</v>
      </c>
      <c r="U39" t="str">
        <f>_xlfn.LET(
   _xlpm.symbolic, Z22,
   _xlpm.dsl_json, AA22,
   _xlpm.normal, AB22,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Normal (0.06s)</v>
      </c>
      <c r="V39" t="str">
        <f>_xlfn.LET(
   _xlpm.symbolic, AJ22,
   _xlpm.dsl_json, AK22,
   _xlpm.normal, AL22,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Symbolic (0.06s)</v>
      </c>
      <c r="W39" t="str">
        <f>_xlfn.LET(
   _xlpm.symbolic_eligible, $Y$32,
   _xlpm.dsl_eligible, $Z$32,
   _xlpm.normal_eligible, $AA$32,
   _xlpm.symbolic_warning, $Y$36,
   _xlpm.dsl_warning, $Z$36,
   _xlpm.normal_warning, $AA$36,
   _xlpm.symbolic_w1, $P$34,
   _xlpm.symbolic_w2, $P$34,
   _xlpm.symbolic_mean, ($P$34*Z22 + $P$34*AJ22)/($P$34*2),
   _xlpm.dsl_w1, $P$34,
   _xlpm.dsl_w2, $P$34,
   _xlpm.dsl_mean, ($P$34*AA22 + $P$34*AK22)/($P$34*2),
   _xlpm.normal_w1, $P$34,
   _xlpm.normal_w2, $P$34,
   _xlpm.normal_mean, ($P$34*AB22 + $P$34*AL22)/($P$34*2),
   _xlpm.eligible_means, IF(_xlpm.symbolic_eligible, _xlpm.symbolic_mean, 999) &amp; "," &amp;
                    IF(_xlpm.dsl_eligible, _xlpm.dsl_mean, 999) &amp; "," &amp;
                    IF(_xlpm.normal_eligible, _xlpm.normal_mean, 999),
   _xlpm.fastest, MIN(IF(_xlpm.symbolic_eligible, _xlpm.symbolic_mean, 999),
                IF(_xlpm.dsl_eligible, _xlpm.dsl_mean, 999),
                IF(_xlpm.normal_eligible, _xlpm.normal_mean, 999)),
   _xlpm.tie_count, (IF(_xlpm.symbolic_eligible, IF(_xlpm.symbolic_mean=_xlpm.fastest,1,0),0)) +
              (IF(_xlpm.dsl_eligible, IF(_xlpm.dsl_mean=_xlpm.fastest,1,0),0)) +
              (IF(_xlpm.normal_eligible, IF(_xlpm.normal_mean=_xlpm.fastest,1,0),0)),
   _xlpm.value_text, IF(AND(_xlpm.symbolic_eligible, _xlpm.symbolic_mean=_xlpm.fastest), TEXT(_xlpm.symbolic_mean, "0.00"),
                 IF(AND(_xlpm.dsl_eligible, _xlpm.dsl_mean=_xlpm.fastest), TEXT(_xlpm.dsl_mean, "0.00"),
                 IF(AND(_xlpm.normal_eligible, _xlpm.normal_mean=_xlpm.fastest), TEXT(_xlpm.normal_mean, "0.00"), ""))),
   _xlpm.winner_text, IF(_xlpm.tie_count=0, "⚠️ No Eligible Formats",
                 IF(_xlpm.tie_count&gt;1, "🤝 Tie (" &amp; TEXT(_xlpm.fastest, "0.00") &amp; "s)",
                    IF(AND(_xlpm.symbolic_eligible, _xlpm.symbolic_mean=_xlpm.fastest),
                       "🏆 Symbolic" &amp; _xlpm.symbolic_warning &amp; " (" &amp; _xlpm.value_text &amp; "s)",
                       IF(AND(_xlpm.dsl_eligible, _xlpm.dsl_mean=_xlpm.fastest),
                          "🏆 DSL/JSON" &amp; _xlpm.dsl_warning &amp; " (" &amp; _xlpm.value_text &amp; "s)",
                          IF(AND(_xlpm.normal_eligible, _xlpm.normal_mean=_xlpm.fastest),
                             "🏆 Normal" &amp; _xlpm.normal_warning &amp; " (" &amp; _xlpm.value_text &amp; "s)",
                             "Error"))))),
   _xlpm.winner_text
)</f>
        <v>🏆 Symbolic⚠️ (0.09s)</v>
      </c>
      <c r="Y39" s="21" t="s">
        <v>668</v>
      </c>
      <c r="Z39" s="21" t="s">
        <v>669</v>
      </c>
      <c r="AA39" s="21" t="s">
        <v>670</v>
      </c>
      <c r="AE39" s="7"/>
      <c r="AF39" s="7"/>
      <c r="AG39" s="7"/>
      <c r="AI39" t="s">
        <v>691</v>
      </c>
      <c r="AJ39">
        <f>MIN(
   IF(AND(Y32=TRUE, Y40="✅ ELIGIBLE"), Y44, 9999),
   IF(AND(Z32=TRUE, Z40="✅ ELIGIBLE"), Z44, 9999),
   IF(AND(AA32=TRUE, AA40="✅ ELIGIBLE"), AA44, 9999),
   IF(
      MIN(
         IF(AND(Y32=TRUE, Y40="✅ ELIGIBLE"), Y44, 9999),
         IF(AND(Z32=TRUE, Z40="✅ ELIGIBLE"), Z44, 9999),
         IF(AND(AA32=TRUE, AA40="✅ ELIGIBLE"), AA44, 9999)
      ) =
      IF(AND(Y32=TRUE, Y40="✅ ELIGIBLE"), Y44, 9999), 9999,
      IF(AND(Y32=TRUE, Y40="✅ ELIGIBLE"), Y44, 9999)
   ),
   IF(
      MIN(
         IF(AND(Y32=TRUE, Y40="✅ ELIGIBLE"), Y44, 9999),
         IF(AND(Z32=TRUE, Z40="✅ ELIGIBLE"), Z44, 9999),
         IF(AND(AA32=TRUE, AA40="✅ ELIGIBLE"), AA44, 9999)
      ) =
      IF(AND(Z32=TRUE, Z40="✅ ELIGIBLE"), Z44, 9999), 9999,
      IF(AND(Z32=TRUE, Z40="✅ ELIGIBLE"), Z44, 9999)
   ),
   IF(
      MIN(
         IF(AND(Y32=TRUE, Y40="✅ ELIGIBLE"), Y44, 9999),
         IF(AND(Z32=TRUE, Z40="✅ ELIGIBLE"), Z44, 9999),
         IF(AND(AA32=TRUE, AA40="✅ ELIGIBLE"), AA44, 9999)
      ) =
      IF(AND(AA32=TRUE, AA40="✅ ELIGIBLE"), AA44, 9999), 9999,
      IF(AND(AA32=TRUE, AA40="✅ ELIGIBLE"), AA44, 9999)
   )
)</f>
        <v>1.02</v>
      </c>
    </row>
    <row r="40" spans="1:36" x14ac:dyDescent="0.25">
      <c r="A40" t="s">
        <v>78</v>
      </c>
      <c r="B40">
        <v>9</v>
      </c>
      <c r="C40" t="s">
        <v>13</v>
      </c>
      <c r="D40" t="s">
        <v>407</v>
      </c>
      <c r="E40" t="s">
        <v>408</v>
      </c>
      <c r="F40" s="1">
        <v>1.3888888888888888E-5</v>
      </c>
      <c r="G40" t="s">
        <v>16</v>
      </c>
      <c r="H40">
        <v>4</v>
      </c>
      <c r="I40">
        <v>74</v>
      </c>
      <c r="J40">
        <v>78</v>
      </c>
      <c r="L40" t="s">
        <v>17</v>
      </c>
      <c r="M40" s="3">
        <f t="shared" si="0"/>
        <v>1.2369998032227159</v>
      </c>
      <c r="T40" t="s">
        <v>679</v>
      </c>
      <c r="U40" t="str">
        <f>_xlfn.LET(
   _xlpm.symbolic, Z23,
   _xlpm.dsl_json, AA23,
   _xlpm.normal, AB23,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Normal (0.02s)</v>
      </c>
      <c r="V40" t="str">
        <f>_xlfn.LET(
   _xlpm.symbolic, AJ23,
   _xlpm.dsl_json, AK23,
   _xlpm.normal, AL23,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Symbolic (0.02s)</v>
      </c>
      <c r="W40" t="str">
        <f>_xlfn.LET(
   _xlpm.symbolic_eligible, $Y$32,
   _xlpm.dsl_eligible, $Z$32,
   _xlpm.normal_eligible, $AA$32,
   _xlpm.symbolic_warning, $Y$36,
   _xlpm.dsl_warning, $Z$36,
   _xlpm.normal_warning, $AA$36,
   _xlpm.symbolic_w1, $P$34,
   _xlpm.symbolic_w2, $P$34,
   _xlpm.symbolic_mean, ($P$34*Z23 + $P$34*AJ23)/($P$34*2),
   _xlpm.dsl_w1, $P$34,
   _xlpm.dsl_w2, $P$34,
   _xlpm.dsl_mean, ($P$34*AA23 + $P$34*AK23)/($P$34*2),
   _xlpm.normal_w1, $P$34,
   _xlpm.normal_w2, $P$34,
   _xlpm.normal_mean, ($P$34*AB23 + $P$34*AL23)/($P$34*2),
   _xlpm.eligible_means, IF(_xlpm.symbolic_eligible, _xlpm.symbolic_mean, 999) &amp; "," &amp;
                    IF(_xlpm.dsl_eligible, _xlpm.dsl_mean, 999) &amp; "," &amp;
                    IF(_xlpm.normal_eligible, _xlpm.normal_mean, 999),
   _xlpm.fastest, MIN(IF(_xlpm.symbolic_eligible, _xlpm.symbolic_mean, 999),
                IF(_xlpm.dsl_eligible, _xlpm.dsl_mean, 999),
                IF(_xlpm.normal_eligible, _xlpm.normal_mean, 999)),
   _xlpm.tie_count, (IF(_xlpm.symbolic_eligible, IF(_xlpm.symbolic_mean=_xlpm.fastest,1,0),0)) +
              (IF(_xlpm.dsl_eligible, IF(_xlpm.dsl_mean=_xlpm.fastest,1,0),0)) +
              (IF(_xlpm.normal_eligible, IF(_xlpm.normal_mean=_xlpm.fastest,1,0),0)),
   _xlpm.value_text, IF(AND(_xlpm.symbolic_eligible, _xlpm.symbolic_mean=_xlpm.fastest), TEXT(_xlpm.symbolic_mean, "0.00"),
                 IF(AND(_xlpm.dsl_eligible, _xlpm.dsl_mean=_xlpm.fastest), TEXT(_xlpm.dsl_mean, "0.00"),
                 IF(AND(_xlpm.normal_eligible, _xlpm.normal_mean=_xlpm.fastest), TEXT(_xlpm.normal_mean, "0.00"), ""))),
   _xlpm.winner_text, IF(_xlpm.tie_count=0, "⚠️ No Eligible Formats",
                 IF(_xlpm.tie_count&gt;1, "🤝 Tie (" &amp; TEXT(_xlpm.fastest, "0.00") &amp; "s)",
                    IF(AND(_xlpm.symbolic_eligible, _xlpm.symbolic_mean=_xlpm.fastest),
                       "🏆 Symbolic" &amp; _xlpm.symbolic_warning &amp; " (" &amp; _xlpm.value_text &amp; "s)",
                       IF(AND(_xlpm.dsl_eligible, _xlpm.dsl_mean=_xlpm.fastest),
                          "🏆 DSL/JSON" &amp; _xlpm.dsl_warning &amp; " (" &amp; _xlpm.value_text &amp; "s)",
                          IF(AND(_xlpm.normal_eligible, _xlpm.normal_mean=_xlpm.fastest),
                             "🏆 Normal" &amp; _xlpm.normal_warning &amp; " (" &amp; _xlpm.value_text &amp; "s)",
                             "Error"))))),
   _xlpm.winner_text
)</f>
        <v>🏆 Symbolic⚠️ (0.02s)</v>
      </c>
      <c r="Y40" t="str">
        <f>IF(OR(Z21="🔴 SEVERE", Z21="🚨 CRITICAL", AJ21="🔴 SEVERE", AJ21="🚨 CRITICAL"),
    "❌ DISQUALIFIED", "✅ ELIGIBLE")</f>
        <v>✅ ELIGIBLE</v>
      </c>
      <c r="Z40" t="str">
        <f>IF(OR(AA21="🔴 SEVERE", AA21="🚨 CRITICAL", AK21="🔴 SEVERE", AK21="🚨 CRITICAL"),
    "❌ DISQUALIFIED", "✅ ELIGIBLE")</f>
        <v>❌ DISQUALIFIED</v>
      </c>
      <c r="AA40" t="str">
        <f>IF(OR(AB21="🔴 SEVERE", AB21="🚨 CRITICAL", AL21="🔴 SEVERE", AL21="🚨 CRITICAL"),
    "❌ DISQUALIFIED", "✅ ELIGIBLE")</f>
        <v>❌ DISQUALIFIED</v>
      </c>
      <c r="AE40" s="4"/>
      <c r="AF40" s="4"/>
      <c r="AG40" s="4"/>
      <c r="AI40" t="s">
        <v>692</v>
      </c>
      <c r="AJ40">
        <f>AJ39 - AJ37</f>
        <v>0</v>
      </c>
    </row>
    <row r="41" spans="1:36" x14ac:dyDescent="0.25">
      <c r="A41" t="s">
        <v>78</v>
      </c>
      <c r="B41">
        <v>10</v>
      </c>
      <c r="C41" t="s">
        <v>13</v>
      </c>
      <c r="D41" t="s">
        <v>409</v>
      </c>
      <c r="E41" t="s">
        <v>410</v>
      </c>
      <c r="F41" s="1">
        <v>1.6203703703703704E-5</v>
      </c>
      <c r="G41" t="s">
        <v>16</v>
      </c>
      <c r="H41">
        <v>4</v>
      </c>
      <c r="I41">
        <v>74</v>
      </c>
      <c r="J41">
        <v>78</v>
      </c>
      <c r="L41" t="s">
        <v>17</v>
      </c>
      <c r="M41" s="3">
        <f t="shared" si="0"/>
        <v>1.4380001462996006</v>
      </c>
      <c r="T41" t="s">
        <v>680</v>
      </c>
      <c r="U41" t="str">
        <f>_xlfn.LET(
   _xlpm.symbolic_mean, Z9,
   _xlpm.dsl_mean, AA9,
   _xlpm.normal_mean, AB9,
   _xlpm.symbolic_risk, Z21,
   _xlpm.dsl_risk, AA21,
   _xlpm.normal_risk, AB21,
   _xlpm.fastest_mean, MIN(_xlpm.symbolic_mean, _xlpm.dsl_mean, _xlpm.normal_mean),
   _xlpm.tie_count, (_xlpm.symbolic_mean=_xlpm.fastest_mean) + (_xlpm.dsl_mean=_xlpm.fastest_mean) + (_xlpm.normal_mean=_xlpm.fastest_mean),
   _xlpm.winner_text, IF(_xlpm.tie_count&gt;1, "🤝 Tie",
                 IF(_xlpm.symbolic_mean=_xlpm.fastest_mean,
                    "🏆 Symbolic" &amp; IF(_xlpm.symbolic_risk="🟡 MODERATE", "🟡",
                                      IF(_xlpm.symbolic_risk="🔴 SEVERE", "🔴",
                                      IF(_xlpm.symbolic_risk="🚨 CRITICAL", "🚨", ""))),
                    IF(_xlpm.dsl_mean=_xlpm.fastest_mean,
                       "🏆 DSL/JSON" &amp; IF(_xlpm.dsl_risk="🟡 MODERATE", "🟡",
                                         IF(_xlpm.dsl_risk="🔴 SEVERE", "🔴",
                                         IF(_xlpm.dsl_risk="🚨 CRITICAL", "🚨", ""))),
                       IF(_xlpm.normal_mean=_xlpm.fastest_mean,
                          "🏆 Normal" &amp; IF(_xlpm.normal_risk="🟡 MODERATE", "🟡",
                                          IF(_xlpm.normal_risk="🔴 SEVERE", "🔴",
                                          IF(_xlpm.normal_risk="🚨 CRITICAL", "🚨", ""))),
                          "Error")))),
   _xlpm.winner_text
)</f>
        <v>🏆 Symbolic🟡</v>
      </c>
      <c r="V41" t="str">
        <f>_xlfn.LET(
   _xlpm.symbolic_mean, AJ9,
   _xlpm.dsl_mean, AK9,
   _xlpm.normal_mean, AL9,
   _xlpm.symbolic_risk, AJ21,
   _xlpm.dsl_risk, AK21,
   _xlpm.normal_risk, AL21,
   _xlpm.fastest_mean, MIN(_xlpm.symbolic_mean, _xlpm.dsl_mean, _xlpm.normal_mean),
   _xlpm.tie_count, (_xlpm.symbolic_mean=_xlpm.fastest_mean) + (_xlpm.dsl_mean=_xlpm.fastest_mean) + (_xlpm.normal_mean=_xlpm.fastest_mean),
   _xlpm.winner_text, IF(_xlpm.tie_count&gt;1, "🤝 Tie",
                 IF(_xlpm.symbolic_mean=_xlpm.fastest_mean,
                    "🏆 Symbolic" &amp; IF(_xlpm.symbolic_risk="🟡 MODERATE", "🟡",
                                      IF(_xlpm.symbolic_risk="🔴 SEVERE", "🔴",
                                      IF(_xlpm.symbolic_risk="🚨 CRITICAL", "🚨", ""))),
                    IF(_xlpm.dsl_mean=_xlpm.fastest_mean,
                       "🏆 DSL/JSON" &amp; IF(_xlpm.dsl_risk="🟡 MODERATE", "🟡",
                                         IF(_xlpm.dsl_risk="🔴 SEVERE", "🔴",
                                         IF(_xlpm.dsl_risk="🚨 CRITICAL", "🚨", ""))),
                       IF(_xlpm.normal_mean=_xlpm.fastest_mean,
                          "🏆 Normal" &amp; IF(_xlpm.normal_risk="🟡 MODERATE", "🟡",
                                          IF(_xlpm.normal_risk="🔴 SEVERE", "🔴",
                                          IF(_xlpm.normal_risk="🚨 CRITICAL", "🚨", ""))),
                          "Error")))),
   _xlpm.winner_text
)</f>
        <v>🏆 Symbolic🟡</v>
      </c>
      <c r="W41" t="str">
        <f>_xlfn.LET(
   _xlpm.symbolic_eligible, $Y$32,
   _xlpm.dsl_eligible, $Z$32,
   _xlpm.normal_eligible, $AA$32,
   _xlpm.symbolic_warning, $Y$36,
   _xlpm.dsl_warning, $Z$36,
   _xlpm.normal_warning, $AA$36,
   _xlpm.eligible_count, _xlpm.symbolic_eligible + _xlpm.dsl_eligible + _xlpm.normal_eligible,
   _xlpm.symbolic_mean, ($P$34*Z9 + $P$34*AJ9)/($P$34*2),
   _xlpm.dsl_mean, ($P$34*AA9 + $P$34*AK9)/($P$34*2),
   _xlpm.normal_mean, ($P$34*AB9 + $P$34*AL9)/($P$34*2),
   _xlpm.fastest, MIN(IF(_xlpm.symbolic_eligible, _xlpm.symbolic_mean, 9999),
                IF(_xlpm.dsl_eligible, _xlpm.dsl_mean, 9999),
                IF(_xlpm.normal_eligible, _xlpm.normal_mean, 9999)),
   IF(_xlpm.eligible_count=0, "⚠️ No Eligible Formats",
      IF(_xlpm.eligible_count=1,
         IF(_xlpm.symbolic_eligible, "🏆 Symbolic" &amp; _xlpm.symbolic_warning,
            IF(_xlpm.dsl_eligible, "🏆 DSL/JSON" &amp; _xlpm.dsl_warning,
               "🏆 Normal" &amp; _xlpm.normal_warning)),
         IF(AND(_xlpm.symbolic_eligible, _xlpm.symbolic_mean=_xlpm.fastest), "🏆 Symbolic" &amp; _xlpm.symbolic_warning,
            IF(AND(_xlpm.dsl_eligible, _xlpm.dsl_mean=_xlpm.fastest), "🏆 DSL/JSON" &amp; _xlpm.dsl_warning,
               "🏆 Normal" &amp; _xlpm.normal_warning)))
   )
)</f>
        <v>🏆 Symbolic⚠️</v>
      </c>
      <c r="Z41" s="7"/>
      <c r="AE41" s="4"/>
      <c r="AF41" s="4"/>
      <c r="AG41" s="4"/>
      <c r="AI41" t="s">
        <v>693</v>
      </c>
      <c r="AJ41" t="str">
        <f>_xlfn.LET(
   _xlpm.means, Z9:AB9,
   _xlpm.min_mean, MIN(_xlpm.means),
   _xlpm.tie_count, (Z9=_xlpm.min_mean)+(AA9=_xlpm.min_mean)+(AB9=_xlpm.min_mean),
   _xlpm.winner, IF(Z9=_xlpm.min_mean, "Symbolic", IF(AA9=_xlpm.min_mean, "DSL/JSON", "Normal")),
   _xlpm.risk, IF(Z9=_xlpm.min_mean, Z24, IF(AA9=_xlpm.min_mean, AA24, AB24)),
   IF(_xlpm.tie_count&gt;1, "🤝 Tie", _xlpm.winner)
)</f>
        <v>Symbolic</v>
      </c>
    </row>
    <row r="42" spans="1:36" x14ac:dyDescent="0.25">
      <c r="A42" t="s">
        <v>78</v>
      </c>
      <c r="B42">
        <v>1</v>
      </c>
      <c r="C42" t="s">
        <v>36</v>
      </c>
      <c r="D42" t="s">
        <v>411</v>
      </c>
      <c r="E42" t="s">
        <v>412</v>
      </c>
      <c r="F42" s="1">
        <v>1.8518518518518518E-5</v>
      </c>
      <c r="G42" t="s">
        <v>16</v>
      </c>
      <c r="H42">
        <v>4</v>
      </c>
      <c r="I42">
        <v>150</v>
      </c>
      <c r="J42">
        <v>154</v>
      </c>
      <c r="L42" t="s">
        <v>17</v>
      </c>
      <c r="M42" s="3">
        <f t="shared" si="0"/>
        <v>1.6130004543811083</v>
      </c>
      <c r="Y42" s="24" t="s">
        <v>705</v>
      </c>
      <c r="Z42" s="24"/>
      <c r="AA42" s="24"/>
      <c r="AC42" s="24" t="s">
        <v>706</v>
      </c>
      <c r="AD42" s="24"/>
      <c r="AE42" s="24"/>
      <c r="AI42" t="s">
        <v>694</v>
      </c>
      <c r="AJ42" t="str">
        <f>_xlfn.LET(
   _xlpm.means, AJ9:AL9,
   _xlpm.min_mean, MIN(_xlpm.means),
   _xlpm.tie_count, (AJ9=_xlpm.min_mean)+(AK9=_xlpm.min_mean)+(AL9=_xlpm.min_mean),
   _xlpm.winner, IF(AJ9=_xlpm.min_mean, "Symbolic", IF(AK9=_xlpm.min_mean, "DSL/JSON", "Normal")),
   _xlpm.risk, IF(AJ9=_xlpm.min_mean, AJ24, IF(AK9=_xlpm.min_mean, AK24, AL24)),
   IF(_xlpm.tie_count&gt;1, "🤝 Tie", _xlpm.winner)
)</f>
        <v>Symbolic</v>
      </c>
    </row>
    <row r="43" spans="1:36" x14ac:dyDescent="0.25">
      <c r="A43" t="s">
        <v>78</v>
      </c>
      <c r="B43">
        <v>2</v>
      </c>
      <c r="C43" t="s">
        <v>36</v>
      </c>
      <c r="D43" t="s">
        <v>413</v>
      </c>
      <c r="E43" t="s">
        <v>414</v>
      </c>
      <c r="F43" s="1">
        <v>1.6203703703703704E-5</v>
      </c>
      <c r="G43" t="s">
        <v>16</v>
      </c>
      <c r="H43">
        <v>4</v>
      </c>
      <c r="I43">
        <v>150</v>
      </c>
      <c r="J43">
        <v>154</v>
      </c>
      <c r="L43" t="s">
        <v>17</v>
      </c>
      <c r="M43" s="3">
        <f t="shared" si="0"/>
        <v>1.3970000669360161</v>
      </c>
      <c r="Y43" s="21" t="s">
        <v>668</v>
      </c>
      <c r="Z43" s="21" t="s">
        <v>669</v>
      </c>
      <c r="AA43" s="21" t="s">
        <v>670</v>
      </c>
      <c r="AC43" s="21" t="s">
        <v>668</v>
      </c>
      <c r="AD43" s="21" t="s">
        <v>669</v>
      </c>
      <c r="AE43" s="21" t="s">
        <v>670</v>
      </c>
      <c r="AI43" t="s">
        <v>695</v>
      </c>
      <c r="AJ43" t="b">
        <f>AND(Y32=TRUE, Y40="✅ ELIGIBLE")</f>
        <v>1</v>
      </c>
    </row>
    <row r="44" spans="1:36" x14ac:dyDescent="0.25">
      <c r="A44" t="s">
        <v>78</v>
      </c>
      <c r="B44">
        <v>3</v>
      </c>
      <c r="C44" t="s">
        <v>36</v>
      </c>
      <c r="D44" t="s">
        <v>415</v>
      </c>
      <c r="E44" t="s">
        <v>416</v>
      </c>
      <c r="F44" s="1">
        <v>1.9675925925925925E-5</v>
      </c>
      <c r="G44" t="s">
        <v>16</v>
      </c>
      <c r="H44">
        <v>4</v>
      </c>
      <c r="I44">
        <v>150</v>
      </c>
      <c r="J44">
        <v>154</v>
      </c>
      <c r="L44" t="s">
        <v>17</v>
      </c>
      <c r="M44" s="3">
        <f t="shared" si="0"/>
        <v>1.7159997951239347</v>
      </c>
      <c r="Y44">
        <f>ROUND(($P$34*Z9+AJ9*$P$34)/($P$34*2),2)</f>
        <v>1.02</v>
      </c>
      <c r="Z44">
        <f t="shared" ref="Z44:AA44" si="27">ROUND(($P$34*AA9+AK9*$P$34)/($P$34*2),2)</f>
        <v>1.21</v>
      </c>
      <c r="AA44">
        <f t="shared" si="27"/>
        <v>1.08</v>
      </c>
      <c r="AC44" t="str">
        <f>_xlfn.LET(
    _xlpm.score, ROUND(1 - (ABS(Z9 - AJ9) / ((Z9 + AJ9) / 2)),2),
    _xlpm.clipped, MAX(0, MIN(1, _xlpm.score)),
    _xlpm.rating, IF(_xlpm.clipped &gt;= 0.95, "⭐",
              IF(_xlpm.clipped &gt;= 0.85, "✅",
                IF(_xlpm.clipped &gt;= 0.7, "⚠️", "❌"))),
    _xlpm.clipped &amp; " (" &amp; _xlpm.rating &amp; ")"
)</f>
        <v>0.98 (⭐)</v>
      </c>
      <c r="AD44" t="str">
        <f>_xlfn.LET(
    _xlpm.score, ROUND(1 - (ABS(AA9 - AK9) / ((AA9 + AK9) / 2)),2),
    _xlpm.clipped, MAX(0, MIN(1, _xlpm.score)),
    _xlpm.rating, IF(_xlpm.clipped &gt;= 0.95, "⭐",
              IF(_xlpm.clipped &gt;= 0.85, "✅",
                IF(_xlpm.clipped &gt;= 0.7, "⚠️", "❌"))),
    _xlpm.clipped &amp; " (" &amp; _xlpm.rating &amp; ")"
)</f>
        <v>0.84 (⚠️)</v>
      </c>
      <c r="AE44" t="str">
        <f>_xlfn.LET(
    _xlpm.score, ROUND(1 - (ABS(AB9 - AL9) / ((AB9 + AL9) / 2)),2),
    _xlpm.clipped, MAX(0, MIN(1, _xlpm.score)),
    _xlpm.rating, IF(_xlpm.clipped &gt;= 0.95, "⭐",
              IF(_xlpm.clipped &gt;= 0.85, "✅",
                IF(_xlpm.clipped &gt;= 0.7, "⚠️", "❌"))),
    _xlpm.clipped &amp; " (" &amp; _xlpm.rating &amp; ")"
)</f>
        <v>0.9 (✅)</v>
      </c>
      <c r="AI44" t="s">
        <v>696</v>
      </c>
      <c r="AJ44" t="b">
        <f>AND(Z32=TRUE, Z40="✅ ELIGIBLE")</f>
        <v>0</v>
      </c>
    </row>
    <row r="45" spans="1:36" x14ac:dyDescent="0.25">
      <c r="A45" t="s">
        <v>78</v>
      </c>
      <c r="B45">
        <v>4</v>
      </c>
      <c r="C45" t="s">
        <v>36</v>
      </c>
      <c r="D45" t="s">
        <v>417</v>
      </c>
      <c r="E45" t="s">
        <v>418</v>
      </c>
      <c r="F45" s="1">
        <v>1.8518518518518518E-5</v>
      </c>
      <c r="G45" t="s">
        <v>16</v>
      </c>
      <c r="H45">
        <v>4</v>
      </c>
      <c r="I45">
        <v>150</v>
      </c>
      <c r="J45">
        <v>154</v>
      </c>
      <c r="L45" t="s">
        <v>17</v>
      </c>
      <c r="M45" s="3">
        <f t="shared" si="0"/>
        <v>1.6320005524903536</v>
      </c>
      <c r="AI45" t="s">
        <v>697</v>
      </c>
      <c r="AJ45" t="b">
        <f>AND(AA32=TRUE, AA40="✅ ELIGIBLE")</f>
        <v>0</v>
      </c>
    </row>
    <row r="46" spans="1:36" x14ac:dyDescent="0.25">
      <c r="A46" t="s">
        <v>78</v>
      </c>
      <c r="B46">
        <v>5</v>
      </c>
      <c r="C46" t="s">
        <v>36</v>
      </c>
      <c r="D46" t="s">
        <v>419</v>
      </c>
      <c r="E46" t="s">
        <v>420</v>
      </c>
      <c r="F46" s="1">
        <v>1.7361111111111111E-5</v>
      </c>
      <c r="G46" t="s">
        <v>16</v>
      </c>
      <c r="H46">
        <v>4</v>
      </c>
      <c r="I46">
        <v>150</v>
      </c>
      <c r="J46">
        <v>154</v>
      </c>
      <c r="L46" t="s">
        <v>17</v>
      </c>
      <c r="M46" s="3">
        <f t="shared" si="0"/>
        <v>1.4799997676163912</v>
      </c>
      <c r="AI46" t="s">
        <v>698</v>
      </c>
      <c r="AJ46" t="str">
        <f>IF(AND(AJ43=TRUE, OR(Z21="🟡 MODERATE", AJ21="🟡 MODERATE")), "⚠️", "")</f>
        <v>⚠️</v>
      </c>
    </row>
    <row r="47" spans="1:36" x14ac:dyDescent="0.25">
      <c r="A47" t="s">
        <v>78</v>
      </c>
      <c r="B47">
        <v>6</v>
      </c>
      <c r="C47" t="s">
        <v>36</v>
      </c>
      <c r="D47" t="s">
        <v>421</v>
      </c>
      <c r="E47" t="s">
        <v>422</v>
      </c>
      <c r="F47" s="1">
        <v>1.8518518518518518E-5</v>
      </c>
      <c r="G47" t="s">
        <v>16</v>
      </c>
      <c r="H47">
        <v>4</v>
      </c>
      <c r="I47">
        <v>150</v>
      </c>
      <c r="J47">
        <v>154</v>
      </c>
      <c r="L47" t="s">
        <v>17</v>
      </c>
      <c r="M47" s="3">
        <f t="shared" si="0"/>
        <v>1.5630000969395041</v>
      </c>
      <c r="AI47" t="s">
        <v>699</v>
      </c>
      <c r="AJ47" t="str">
        <f>IF(AND(AJ44=TRUE, OR(AA21="🟡 MODERATE", AK21="🟡 MODERATE")), "⚠️", "")</f>
        <v/>
      </c>
    </row>
    <row r="48" spans="1:36" x14ac:dyDescent="0.25">
      <c r="A48" t="s">
        <v>78</v>
      </c>
      <c r="B48">
        <v>7</v>
      </c>
      <c r="C48" t="s">
        <v>36</v>
      </c>
      <c r="D48" t="s">
        <v>423</v>
      </c>
      <c r="E48" t="s">
        <v>424</v>
      </c>
      <c r="F48" s="1">
        <v>1.5046296296296297E-5</v>
      </c>
      <c r="G48" t="s">
        <v>16</v>
      </c>
      <c r="H48">
        <v>4</v>
      </c>
      <c r="I48">
        <v>150</v>
      </c>
      <c r="J48">
        <v>154</v>
      </c>
      <c r="L48" t="s">
        <v>17</v>
      </c>
      <c r="M48" s="3">
        <f t="shared" si="0"/>
        <v>1.3340000063180923</v>
      </c>
      <c r="AI48" t="s">
        <v>700</v>
      </c>
      <c r="AJ48" t="str">
        <f>IF(AND(AJ45=TRUE, OR(AB21="🟡 MODERATE", AL21="🟡 MODERATE")), "⚠️", "")</f>
        <v/>
      </c>
    </row>
    <row r="49" spans="1:36" x14ac:dyDescent="0.25">
      <c r="A49" t="s">
        <v>78</v>
      </c>
      <c r="B49">
        <v>8</v>
      </c>
      <c r="C49" t="s">
        <v>36</v>
      </c>
      <c r="D49" t="s">
        <v>425</v>
      </c>
      <c r="E49" t="s">
        <v>426</v>
      </c>
      <c r="F49" s="1">
        <v>1.5046296296296297E-5</v>
      </c>
      <c r="G49" t="s">
        <v>16</v>
      </c>
      <c r="H49">
        <v>4</v>
      </c>
      <c r="I49">
        <v>150</v>
      </c>
      <c r="J49">
        <v>154</v>
      </c>
      <c r="L49" t="s">
        <v>17</v>
      </c>
      <c r="M49" s="3">
        <f t="shared" si="0"/>
        <v>1.3280002400279045</v>
      </c>
      <c r="AI49" t="s">
        <v>701</v>
      </c>
      <c r="AJ49" t="b" cm="1">
        <f t="array" ref="AJ49">AND(OR(AND(Z21="🔴 SEVERE", AJ21="🟡 MODERATE"),
        AND(Z21="🟡 MODERATE", AJ21="🔴 SEVERE")),
     Y44 = MIN(IF(Y40:AA40="✅ ELIGIBLE", Y44:AA44, 9999)))</f>
        <v>0</v>
      </c>
    </row>
    <row r="50" spans="1:36" x14ac:dyDescent="0.25">
      <c r="A50" t="s">
        <v>78</v>
      </c>
      <c r="B50">
        <v>9</v>
      </c>
      <c r="C50" t="s">
        <v>36</v>
      </c>
      <c r="D50" t="s">
        <v>427</v>
      </c>
      <c r="E50" t="s">
        <v>428</v>
      </c>
      <c r="F50" s="1">
        <v>1.3888888888888888E-5</v>
      </c>
      <c r="G50" t="s">
        <v>16</v>
      </c>
      <c r="H50">
        <v>4</v>
      </c>
      <c r="I50">
        <v>150</v>
      </c>
      <c r="J50">
        <v>154</v>
      </c>
      <c r="L50" t="s">
        <v>17</v>
      </c>
      <c r="M50" s="3">
        <f t="shared" si="0"/>
        <v>1.2379999738186598</v>
      </c>
      <c r="AI50" t="s">
        <v>702</v>
      </c>
      <c r="AJ50" t="b" cm="1">
        <f t="array" ref="AJ50">AND(OR(AND(AA21="🔴 SEVERE", AK21="🟡 MODERATE"),
        AND(AA21="🟡 MODERATE", AK21="🔴 SEVERE")),
     Z44 = MIN(IF(Y40:AA40="✅ ELIGIBLE", Y44:AA44, 9999)))</f>
        <v>0</v>
      </c>
    </row>
    <row r="51" spans="1:36" x14ac:dyDescent="0.25">
      <c r="A51" t="s">
        <v>78</v>
      </c>
      <c r="B51">
        <v>10</v>
      </c>
      <c r="C51" t="s">
        <v>36</v>
      </c>
      <c r="D51" t="s">
        <v>429</v>
      </c>
      <c r="E51" t="s">
        <v>430</v>
      </c>
      <c r="F51" s="1">
        <v>1.5046296296296297E-5</v>
      </c>
      <c r="G51" t="s">
        <v>16</v>
      </c>
      <c r="H51">
        <v>4</v>
      </c>
      <c r="I51">
        <v>150</v>
      </c>
      <c r="J51">
        <v>154</v>
      </c>
      <c r="L51" t="s">
        <v>17</v>
      </c>
      <c r="M51" s="3">
        <f t="shared" si="0"/>
        <v>1.2589997844770551</v>
      </c>
      <c r="AI51" t="s">
        <v>703</v>
      </c>
      <c r="AJ51" t="b" cm="1">
        <f t="array" ref="AJ51">AND(OR(AND(AB21="🔴 SEVERE", AL21="🟡 MODERATE"),
        AND(AB21="🟡 MODERATE", AL21="🔴 SEVERE")),
     AA44 = MIN(IF(Y40:AA40="✅ ELIGIBLE", Y44:AA44, 9999)))</f>
        <v>0</v>
      </c>
    </row>
    <row r="52" spans="1:36" x14ac:dyDescent="0.25">
      <c r="A52" t="s">
        <v>78</v>
      </c>
      <c r="B52">
        <v>1</v>
      </c>
      <c r="C52" t="s">
        <v>57</v>
      </c>
      <c r="D52" t="s">
        <v>431</v>
      </c>
      <c r="E52" t="s">
        <v>432</v>
      </c>
      <c r="F52" s="1">
        <v>2.199074074074074E-5</v>
      </c>
      <c r="G52" t="s">
        <v>16</v>
      </c>
      <c r="H52">
        <v>4</v>
      </c>
      <c r="I52">
        <v>104</v>
      </c>
      <c r="J52">
        <v>108</v>
      </c>
      <c r="L52" t="s">
        <v>17</v>
      </c>
      <c r="M52" s="3">
        <f t="shared" si="0"/>
        <v>1.8549996195361018</v>
      </c>
    </row>
    <row r="53" spans="1:36" x14ac:dyDescent="0.25">
      <c r="A53" t="s">
        <v>78</v>
      </c>
      <c r="B53">
        <v>2</v>
      </c>
      <c r="C53" t="s">
        <v>57</v>
      </c>
      <c r="D53" t="s">
        <v>433</v>
      </c>
      <c r="E53" t="s">
        <v>434</v>
      </c>
      <c r="F53" s="1">
        <v>1.9675925925925925E-5</v>
      </c>
      <c r="G53" t="s">
        <v>16</v>
      </c>
      <c r="H53">
        <v>4</v>
      </c>
      <c r="I53">
        <v>104</v>
      </c>
      <c r="J53">
        <v>108</v>
      </c>
      <c r="L53" t="s">
        <v>17</v>
      </c>
      <c r="M53" s="3">
        <f t="shared" si="0"/>
        <v>1.6999995801597834</v>
      </c>
      <c r="AI53" t="s">
        <v>707</v>
      </c>
      <c r="AJ53">
        <f>_xlfn.LET(
    _xlpm.sym_eligible, Y32,
    _xlpm.dsl_eligible, Z32,
    _xlpm.norm_eligible, AA32,
    (_xlpm.sym_eligible*1) + (_xlpm.dsl_eligible*1) + (_xlpm.norm_eligible*1)
)</f>
        <v>1</v>
      </c>
    </row>
    <row r="54" spans="1:36" x14ac:dyDescent="0.25">
      <c r="A54" t="s">
        <v>78</v>
      </c>
      <c r="B54">
        <v>3</v>
      </c>
      <c r="C54" t="s">
        <v>57</v>
      </c>
      <c r="D54" t="s">
        <v>435</v>
      </c>
      <c r="E54" t="s">
        <v>436</v>
      </c>
      <c r="F54" s="1">
        <v>1.2731481481481482E-5</v>
      </c>
      <c r="G54" t="s">
        <v>16</v>
      </c>
      <c r="H54">
        <v>4</v>
      </c>
      <c r="I54">
        <v>104</v>
      </c>
      <c r="J54">
        <v>108</v>
      </c>
      <c r="L54" t="s">
        <v>17</v>
      </c>
      <c r="M54" s="3">
        <f t="shared" si="0"/>
        <v>1.1189997894689441</v>
      </c>
      <c r="AI54" t="s">
        <v>708</v>
      </c>
      <c r="AJ54">
        <f>_xlfn.LET(
    _xlpm.sym_mean, Y44, _xlpm.sym_eligible, Y32,
    _xlpm.dsl_mean, Z44, _xlpm.dsl_eligible, Z32,
    _xlpm.norm_mean, AA44, _xlpm.norm_eligible, AA32,
    MIN(IF(_xlpm.sym_eligible, _xlpm.sym_mean, 9999), IF(_xlpm.dsl_eligible, _xlpm.dsl_mean, 9999), IF(_xlpm.norm_eligible, _xlpm.norm_mean, 9999))
)</f>
        <v>1.02</v>
      </c>
    </row>
    <row r="55" spans="1:36" x14ac:dyDescent="0.25">
      <c r="A55" t="s">
        <v>78</v>
      </c>
      <c r="B55">
        <v>4</v>
      </c>
      <c r="C55" t="s">
        <v>57</v>
      </c>
      <c r="D55" t="s">
        <v>437</v>
      </c>
      <c r="E55" t="s">
        <v>438</v>
      </c>
      <c r="F55" s="1">
        <v>1.5046296296296297E-5</v>
      </c>
      <c r="G55" t="s">
        <v>16</v>
      </c>
      <c r="H55">
        <v>4</v>
      </c>
      <c r="I55">
        <v>104</v>
      </c>
      <c r="J55">
        <v>108</v>
      </c>
      <c r="L55" t="s">
        <v>17</v>
      </c>
      <c r="M55" s="3">
        <f t="shared" si="0"/>
        <v>1.2669998919591308</v>
      </c>
      <c r="AI55" t="s">
        <v>690</v>
      </c>
      <c r="AJ55">
        <f>ROUND(AI34 * 0.05, 2)</f>
        <v>0</v>
      </c>
    </row>
    <row r="56" spans="1:36" x14ac:dyDescent="0.25">
      <c r="A56" t="s">
        <v>78</v>
      </c>
      <c r="B56">
        <v>5</v>
      </c>
      <c r="C56" t="s">
        <v>57</v>
      </c>
      <c r="D56" t="s">
        <v>439</v>
      </c>
      <c r="E56" t="s">
        <v>440</v>
      </c>
      <c r="F56" s="1">
        <v>1.7361111111111111E-5</v>
      </c>
      <c r="G56" t="s">
        <v>16</v>
      </c>
      <c r="H56">
        <v>4</v>
      </c>
      <c r="I56">
        <v>104</v>
      </c>
      <c r="J56">
        <v>108</v>
      </c>
      <c r="L56" t="s">
        <v>17</v>
      </c>
      <c r="M56" s="3">
        <f t="shared" si="0"/>
        <v>1.4610002981498837</v>
      </c>
      <c r="AI56" t="s">
        <v>709</v>
      </c>
      <c r="AJ56" t="str">
        <f>_xlfn.LET(
    _xlpm.sym_eligible, Y32, _xlpm.sym_risk_m3, Z21,
    _xlpm.dsl_eligible, Z32, _xlpm.dsl_risk_m3, AA21,
    _xlpm.norm_eligible, AA32, _xlpm.norm_risk_m3, AB21,
    IF(NOT(_xlpm.sym_eligible), "❌ Symbolic disqualified (" &amp; _xlpm.sym_risk_m3 &amp; " on Mar 3)&lt;br&gt;", "") &amp;
    IF(NOT(_xlpm.dsl_eligible), "❌ DSL/JSON disqualified (" &amp; _xlpm.dsl_risk_m3 &amp; " on Mar 3)&lt;br&gt;", "") &amp;
    IF(NOT(_xlpm.norm_eligible), "❌ Normal disqualified (" &amp; _xlpm.norm_risk_m3 &amp; " on Mar 3)&lt;br&gt;", "")
)</f>
        <v>❌ DSL/JSON disqualified (🔴 SEVERE on Mar 3)&lt;br&gt;❌ Normal disqualified (🚨 CRITICAL on Mar 3)&lt;br&gt;</v>
      </c>
    </row>
    <row r="57" spans="1:36" x14ac:dyDescent="0.25">
      <c r="A57" t="s">
        <v>78</v>
      </c>
      <c r="B57">
        <v>6</v>
      </c>
      <c r="C57" t="s">
        <v>57</v>
      </c>
      <c r="D57" t="s">
        <v>441</v>
      </c>
      <c r="E57" t="s">
        <v>442</v>
      </c>
      <c r="F57" s="1">
        <v>1.6203703703703704E-5</v>
      </c>
      <c r="G57" t="s">
        <v>16</v>
      </c>
      <c r="H57">
        <v>4</v>
      </c>
      <c r="I57">
        <v>104</v>
      </c>
      <c r="J57">
        <v>108</v>
      </c>
      <c r="L57" t="s">
        <v>17</v>
      </c>
      <c r="M57" s="3">
        <f t="shared" si="0"/>
        <v>1.3619997538626194</v>
      </c>
      <c r="AI57" t="s">
        <v>710</v>
      </c>
      <c r="AJ57" t="str">
        <f>_xlfn.LET(
    _xlpm.sym_mean, Y44, _xlpm.sym_stability, AC44, _xlpm.sym_risk_m3, Z21, _xlpm.sym_risk_m5, AJ21,
    _xlpm.dsl_mean, Z44, _xlpm.dsl_stability, AD44, _xlpm.dsl_risk_m3, AA21, _xlpm.dsl_risk_m5, AK21,
    _xlpm.norm_mean, AA44, _xlpm.norm_stability, AE44, _xlpm.norm_risk_m3, AB21, _xlpm.norm_risk_m5, AL21,
    _xlpm.threshold, AJ55, _xlpm.notes, AJ56,
    _xlpm.min_mean, MIN(_xlpm.sym_mean, _xlpm.dsl_mean, _xlpm.norm_mean),
    _xlpm.tie_count, (_xlpm.sym_mean=_xlpm.min_mean)+(_xlpm.dsl_mean=_xlpm.min_mean)+(_xlpm.norm_mean=_xlpm.min_mean),
    _xlpm.all_tied, AND(ABS(_xlpm.sym_mean-_xlpm.dsl_mean)&lt;_xlpm.threshold, ABS(_xlpm.sym_mean-_xlpm.norm_mean)&lt;_xlpm.threshold, ABS(_xlpm.dsl_mean-_xlpm.norm_mean)&lt;_xlpm.threshold),
    IF(_xlpm.tie_count&gt;1,
        IF(_xlpm.all_tied,
            IF(AND(_xlpm.sym_stability&gt;=_xlpm.dsl_stability, _xlpm.sym_stability&gt;=_xlpm.norm_stability),
                "🏆 Symbolic" &amp; IF(OR(_xlpm.sym_risk_m3="🟡 MODERATE", _xlpm.sym_risk_m5="🟡 MODERATE"), "⚠️", "") &amp; " Conditional Winner (" &amp; TEXT(_xlpm.sym_mean,"0.00") &amp; "s)&lt;br&gt;&lt;sup&gt;⚖️ Three-way statistical tie | Symbolic wins on stability&lt;br&gt;" &amp; _xlpm.notes &amp; "&lt;/sup&gt;",
            IF(AND(_xlpm.dsl_stability&gt;=_xlpm.sym_stability, _xlpm.dsl_stability&gt;=_xlpm.norm_stability),
                "🏆 DSL/JSON" &amp; IF(OR(_xlpm.dsl_risk_m3="🟡 MODERATE", _xlpm.dsl_risk_m5="🟡 MODERATE"), "⚠️", "") &amp; " Conditional Winner (" &amp; TEXT(_xlpm.dsl_mean,"0.00") &amp; "s)&lt;br&gt;&lt;sup&gt;⚖️ Three-way statistical tie | DSL/JSON wins on stability&lt;br&gt;" &amp; _xlpm.notes &amp; "&lt;/sup&gt;",
                "🏆 Normal" &amp; IF(OR(_xlpm.norm_risk_m3="🟡 MODERATE", _xlpm.norm_risk_m5="🟡 MODERATE"), "⚠️", "") &amp; " Conditional Winner (" &amp; TEXT(_xlpm.norm_mean,"0.00") &amp; "s)&lt;br&gt;&lt;sup&gt;⚖️ Three-way statistical tie | Normal wins on stability&lt;br&gt;" &amp; _xlpm.notes &amp; "&lt;/sup&gt;")),
            "🏆 Need complex tie resolution"),
        IF(_xlpm.sym_mean=_xlpm.min_mean,
            "🏆 Symbolic" &amp; IF(OR(_xlpm.sym_risk_m3="🟡 MODERATE", _xlpm.sym_risk_m5="🟡 MODERATE"), "⚠️", "") &amp; " (" &amp; TEXT(_xlpm.sym_mean,"0.00") &amp; "s)&lt;br&gt;&lt;sup&gt;" &amp; _xlpm.notes &amp; "&lt;/sup&gt;",
        IF(_xlpm.dsl_mean=_xlpm.min_mean,
            "🏆 DSL/JSON" &amp; IF(OR(_xlpm.dsl_risk_m3="🟡 MODERATE", _xlpm.dsl_risk_m5="🟡 MODERATE"), "⚠️", "") &amp; " (" &amp; TEXT(_xlpm.dsl_mean,"0.00") &amp; "s)&lt;br&gt;&lt;sup&gt;" &amp; _xlpm.notes &amp; "&lt;/sup&gt;",
            "🏆 Normal" &amp; IF(OR(_xlpm.norm_risk_m3="🟡 MODERATE", _xlpm.norm_risk_m5="🟡 MODERATE"), "⚠️", "") &amp; " (" &amp; TEXT(_xlpm.norm_mean,"0.00") &amp; "s)&lt;br&gt;&lt;sup&gt;" &amp; _xlpm.notes &amp; "&lt;/sup&gt;")))
)</f>
        <v>🏆 Symbolic⚠️ (1.02s)&lt;br&gt;&lt;sup&gt;❌ DSL/JSON disqualified (🔴 SEVERE on Mar 3)&lt;br&gt;❌ Normal disqualified (🚨 CRITICAL on Mar 3)&lt;br&gt;&lt;/sup&gt;</v>
      </c>
    </row>
    <row r="58" spans="1:36" x14ac:dyDescent="0.25">
      <c r="A58" t="s">
        <v>78</v>
      </c>
      <c r="B58">
        <v>7</v>
      </c>
      <c r="C58" t="s">
        <v>57</v>
      </c>
      <c r="D58" t="s">
        <v>443</v>
      </c>
      <c r="E58" t="s">
        <v>444</v>
      </c>
      <c r="F58" s="1">
        <v>1.5046296296296297E-5</v>
      </c>
      <c r="G58" t="s">
        <v>16</v>
      </c>
      <c r="H58">
        <v>4</v>
      </c>
      <c r="I58">
        <v>104</v>
      </c>
      <c r="J58">
        <v>108</v>
      </c>
      <c r="L58" t="s">
        <v>17</v>
      </c>
      <c r="M58" s="3">
        <f t="shared" si="0"/>
        <v>1.2990003218874335</v>
      </c>
    </row>
    <row r="59" spans="1:36" x14ac:dyDescent="0.25">
      <c r="A59" t="s">
        <v>78</v>
      </c>
      <c r="B59">
        <v>8</v>
      </c>
      <c r="C59" t="s">
        <v>57</v>
      </c>
      <c r="D59" t="s">
        <v>445</v>
      </c>
      <c r="E59" t="s">
        <v>446</v>
      </c>
      <c r="F59" s="1">
        <v>1.6203703703703704E-5</v>
      </c>
      <c r="G59" t="s">
        <v>16</v>
      </c>
      <c r="H59">
        <v>4</v>
      </c>
      <c r="I59">
        <v>104</v>
      </c>
      <c r="J59">
        <v>108</v>
      </c>
      <c r="L59" t="s">
        <v>17</v>
      </c>
      <c r="M59" s="3">
        <f t="shared" si="0"/>
        <v>1.3790001394227147</v>
      </c>
    </row>
    <row r="60" spans="1:36" x14ac:dyDescent="0.25">
      <c r="A60" t="s">
        <v>78</v>
      </c>
      <c r="B60">
        <v>9</v>
      </c>
      <c r="C60" t="s">
        <v>57</v>
      </c>
      <c r="D60" t="s">
        <v>447</v>
      </c>
      <c r="E60" t="s">
        <v>448</v>
      </c>
      <c r="F60" s="1">
        <v>1.6203703703703704E-5</v>
      </c>
      <c r="G60" t="s">
        <v>16</v>
      </c>
      <c r="H60">
        <v>4</v>
      </c>
      <c r="I60">
        <v>104</v>
      </c>
      <c r="J60">
        <v>108</v>
      </c>
      <c r="L60" t="s">
        <v>17</v>
      </c>
      <c r="M60" s="3">
        <f t="shared" si="0"/>
        <v>1.4129996532574296</v>
      </c>
    </row>
    <row r="61" spans="1:36" x14ac:dyDescent="0.25">
      <c r="A61" t="s">
        <v>78</v>
      </c>
      <c r="B61">
        <v>10</v>
      </c>
      <c r="C61" t="s">
        <v>57</v>
      </c>
      <c r="D61" t="s">
        <v>449</v>
      </c>
      <c r="E61" t="s">
        <v>450</v>
      </c>
      <c r="F61" s="1">
        <v>1.3888888888888888E-5</v>
      </c>
      <c r="G61" t="s">
        <v>16</v>
      </c>
      <c r="H61">
        <v>4</v>
      </c>
      <c r="I61">
        <v>104</v>
      </c>
      <c r="J61">
        <v>108</v>
      </c>
      <c r="L61" t="s">
        <v>17</v>
      </c>
      <c r="M61" s="3">
        <f t="shared" si="0"/>
        <v>1.2119999388232827</v>
      </c>
    </row>
    <row r="62" spans="1:36" x14ac:dyDescent="0.25">
      <c r="A62" t="s">
        <v>139</v>
      </c>
      <c r="B62">
        <v>1</v>
      </c>
      <c r="C62" t="s">
        <v>13</v>
      </c>
      <c r="D62" t="s">
        <v>451</v>
      </c>
      <c r="E62" t="s">
        <v>452</v>
      </c>
      <c r="F62" s="1">
        <v>1.5046296296296297E-5</v>
      </c>
      <c r="G62" t="s">
        <v>16</v>
      </c>
      <c r="H62">
        <v>2</v>
      </c>
      <c r="I62">
        <v>67</v>
      </c>
      <c r="J62">
        <v>69</v>
      </c>
      <c r="L62" t="s">
        <v>17</v>
      </c>
      <c r="M62" s="3">
        <f t="shared" si="0"/>
        <v>1.3000004924833775</v>
      </c>
    </row>
    <row r="63" spans="1:36" x14ac:dyDescent="0.25">
      <c r="A63" t="s">
        <v>139</v>
      </c>
      <c r="B63">
        <v>2</v>
      </c>
      <c r="C63" t="s">
        <v>13</v>
      </c>
      <c r="D63" t="s">
        <v>453</v>
      </c>
      <c r="E63" t="s">
        <v>454</v>
      </c>
      <c r="F63" s="1">
        <v>1.2731481481481482E-5</v>
      </c>
      <c r="G63" t="s">
        <v>16</v>
      </c>
      <c r="H63">
        <v>2</v>
      </c>
      <c r="I63">
        <v>67</v>
      </c>
      <c r="J63">
        <v>69</v>
      </c>
      <c r="L63" t="s">
        <v>17</v>
      </c>
      <c r="M63" s="3">
        <f t="shared" si="0"/>
        <v>1.1350000044330955</v>
      </c>
    </row>
    <row r="64" spans="1:36" x14ac:dyDescent="0.25">
      <c r="A64" t="s">
        <v>139</v>
      </c>
      <c r="B64">
        <v>3</v>
      </c>
      <c r="C64" t="s">
        <v>13</v>
      </c>
      <c r="D64" t="s">
        <v>455</v>
      </c>
      <c r="E64" t="s">
        <v>456</v>
      </c>
      <c r="F64" s="1">
        <v>2.0833333333333333E-5</v>
      </c>
      <c r="G64" t="s">
        <v>16</v>
      </c>
      <c r="H64">
        <v>2</v>
      </c>
      <c r="I64">
        <v>67</v>
      </c>
      <c r="J64">
        <v>69</v>
      </c>
      <c r="L64" t="s">
        <v>17</v>
      </c>
      <c r="M64" s="3">
        <f t="shared" si="0"/>
        <v>1.0789998807013035</v>
      </c>
    </row>
    <row r="65" spans="1:13" x14ac:dyDescent="0.25">
      <c r="A65" t="s">
        <v>139</v>
      </c>
      <c r="B65">
        <v>4</v>
      </c>
      <c r="C65" t="s">
        <v>13</v>
      </c>
      <c r="D65" t="s">
        <v>457</v>
      </c>
      <c r="E65" t="s">
        <v>458</v>
      </c>
      <c r="F65" s="1">
        <v>1.3888888888888888E-5</v>
      </c>
      <c r="G65" t="s">
        <v>16</v>
      </c>
      <c r="H65">
        <v>2</v>
      </c>
      <c r="I65">
        <v>67</v>
      </c>
      <c r="J65">
        <v>69</v>
      </c>
      <c r="L65" t="s">
        <v>17</v>
      </c>
      <c r="M65" s="3">
        <f t="shared" si="0"/>
        <v>1.1720000300556421</v>
      </c>
    </row>
    <row r="66" spans="1:13" x14ac:dyDescent="0.25">
      <c r="A66" t="s">
        <v>139</v>
      </c>
      <c r="B66">
        <v>5</v>
      </c>
      <c r="C66" t="s">
        <v>13</v>
      </c>
      <c r="D66" t="s">
        <v>459</v>
      </c>
      <c r="E66" t="s">
        <v>460</v>
      </c>
      <c r="F66" s="1">
        <v>1.5046296296296297E-5</v>
      </c>
      <c r="G66" t="s">
        <v>16</v>
      </c>
      <c r="H66">
        <v>2</v>
      </c>
      <c r="I66">
        <v>67</v>
      </c>
      <c r="J66">
        <v>69</v>
      </c>
      <c r="L66" t="s">
        <v>17</v>
      </c>
      <c r="M66" s="3">
        <f t="shared" si="0"/>
        <v>1.2540001887828112</v>
      </c>
    </row>
    <row r="67" spans="1:13" x14ac:dyDescent="0.25">
      <c r="A67" t="s">
        <v>139</v>
      </c>
      <c r="B67">
        <v>6</v>
      </c>
      <c r="C67" t="s">
        <v>13</v>
      </c>
      <c r="D67" t="s">
        <v>461</v>
      </c>
      <c r="E67" t="s">
        <v>462</v>
      </c>
      <c r="F67" s="1">
        <v>1.2731481481481482E-5</v>
      </c>
      <c r="G67" t="s">
        <v>16</v>
      </c>
      <c r="H67">
        <v>2</v>
      </c>
      <c r="I67">
        <v>67</v>
      </c>
      <c r="J67">
        <v>69</v>
      </c>
      <c r="L67" t="s">
        <v>17</v>
      </c>
      <c r="M67" s="3">
        <f t="shared" ref="M67:M130" si="28">(SUBSTITUTE(LEFT(E67,23),"T"," ")-SUBSTITUTE(LEFT(D67,23),"T"," "))*86400</f>
        <v>1.0140001075342298</v>
      </c>
    </row>
    <row r="68" spans="1:13" x14ac:dyDescent="0.25">
      <c r="A68" t="s">
        <v>139</v>
      </c>
      <c r="B68">
        <v>7</v>
      </c>
      <c r="C68" t="s">
        <v>13</v>
      </c>
      <c r="D68" t="s">
        <v>463</v>
      </c>
      <c r="E68" t="s">
        <v>464</v>
      </c>
      <c r="F68" s="1">
        <v>1.5046296296296297E-5</v>
      </c>
      <c r="G68" t="s">
        <v>16</v>
      </c>
      <c r="H68">
        <v>2</v>
      </c>
      <c r="I68">
        <v>67</v>
      </c>
      <c r="J68">
        <v>69</v>
      </c>
      <c r="L68" t="s">
        <v>17</v>
      </c>
      <c r="M68" s="3">
        <f t="shared" si="28"/>
        <v>1.2680000625550747</v>
      </c>
    </row>
    <row r="69" spans="1:13" x14ac:dyDescent="0.25">
      <c r="A69" t="s">
        <v>139</v>
      </c>
      <c r="B69">
        <v>8</v>
      </c>
      <c r="C69" t="s">
        <v>13</v>
      </c>
      <c r="D69" t="s">
        <v>465</v>
      </c>
      <c r="E69" t="s">
        <v>466</v>
      </c>
      <c r="F69" s="1">
        <v>1.5046296296296297E-5</v>
      </c>
      <c r="G69" t="s">
        <v>16</v>
      </c>
      <c r="H69">
        <v>2</v>
      </c>
      <c r="I69">
        <v>67</v>
      </c>
      <c r="J69">
        <v>69</v>
      </c>
      <c r="L69" t="s">
        <v>17</v>
      </c>
      <c r="M69" s="3">
        <f t="shared" si="28"/>
        <v>1.3259998988360167</v>
      </c>
    </row>
    <row r="70" spans="1:13" x14ac:dyDescent="0.25">
      <c r="A70" t="s">
        <v>139</v>
      </c>
      <c r="B70">
        <v>9</v>
      </c>
      <c r="C70" t="s">
        <v>13</v>
      </c>
      <c r="D70" t="s">
        <v>467</v>
      </c>
      <c r="E70" t="s">
        <v>468</v>
      </c>
      <c r="F70" s="1">
        <v>1.3888888888888888E-5</v>
      </c>
      <c r="G70" t="s">
        <v>16</v>
      </c>
      <c r="H70">
        <v>2</v>
      </c>
      <c r="I70">
        <v>67</v>
      </c>
      <c r="J70">
        <v>69</v>
      </c>
      <c r="L70" t="s">
        <v>17</v>
      </c>
      <c r="M70" s="3">
        <f t="shared" si="28"/>
        <v>1.2390001444146037</v>
      </c>
    </row>
    <row r="71" spans="1:13" x14ac:dyDescent="0.25">
      <c r="A71" t="s">
        <v>139</v>
      </c>
      <c r="B71">
        <v>10</v>
      </c>
      <c r="C71" t="s">
        <v>13</v>
      </c>
      <c r="D71" t="s">
        <v>469</v>
      </c>
      <c r="E71" t="s">
        <v>470</v>
      </c>
      <c r="F71" s="1">
        <v>1.3888888888888888E-5</v>
      </c>
      <c r="G71" t="s">
        <v>16</v>
      </c>
      <c r="H71">
        <v>2</v>
      </c>
      <c r="I71">
        <v>67</v>
      </c>
      <c r="J71">
        <v>69</v>
      </c>
      <c r="L71" t="s">
        <v>17</v>
      </c>
      <c r="M71" s="3">
        <f t="shared" si="28"/>
        <v>1.1610000394284725</v>
      </c>
    </row>
    <row r="72" spans="1:13" x14ac:dyDescent="0.25">
      <c r="A72" t="s">
        <v>139</v>
      </c>
      <c r="B72">
        <v>1</v>
      </c>
      <c r="C72" t="s">
        <v>36</v>
      </c>
      <c r="D72" t="s">
        <v>471</v>
      </c>
      <c r="E72" t="s">
        <v>472</v>
      </c>
      <c r="F72" s="1">
        <v>1.5046296296296297E-5</v>
      </c>
      <c r="G72" t="s">
        <v>16</v>
      </c>
      <c r="H72">
        <v>2</v>
      </c>
      <c r="I72">
        <v>161</v>
      </c>
      <c r="J72">
        <v>163</v>
      </c>
      <c r="L72" t="s">
        <v>17</v>
      </c>
      <c r="M72" s="3">
        <f t="shared" si="28"/>
        <v>1.3340000063180923</v>
      </c>
    </row>
    <row r="73" spans="1:13" x14ac:dyDescent="0.25">
      <c r="A73" t="s">
        <v>139</v>
      </c>
      <c r="B73">
        <v>2</v>
      </c>
      <c r="C73" t="s">
        <v>36</v>
      </c>
      <c r="D73" t="s">
        <v>473</v>
      </c>
      <c r="E73" t="s">
        <v>474</v>
      </c>
      <c r="F73" s="1">
        <v>1.3888888888888888E-5</v>
      </c>
      <c r="G73" t="s">
        <v>16</v>
      </c>
      <c r="H73">
        <v>2</v>
      </c>
      <c r="I73">
        <v>161</v>
      </c>
      <c r="J73">
        <v>163</v>
      </c>
      <c r="L73" t="s">
        <v>17</v>
      </c>
      <c r="M73" s="3">
        <f t="shared" si="28"/>
        <v>1.1589996982365847</v>
      </c>
    </row>
    <row r="74" spans="1:13" x14ac:dyDescent="0.25">
      <c r="A74" t="s">
        <v>139</v>
      </c>
      <c r="B74">
        <v>3</v>
      </c>
      <c r="C74" t="s">
        <v>36</v>
      </c>
      <c r="D74" t="s">
        <v>475</v>
      </c>
      <c r="E74" t="s">
        <v>476</v>
      </c>
      <c r="F74" s="1">
        <v>1.2731481481481482E-5</v>
      </c>
      <c r="G74" t="s">
        <v>16</v>
      </c>
      <c r="H74">
        <v>2</v>
      </c>
      <c r="I74">
        <v>161</v>
      </c>
      <c r="J74">
        <v>163</v>
      </c>
      <c r="L74" t="s">
        <v>17</v>
      </c>
      <c r="M74" s="3">
        <f t="shared" si="28"/>
        <v>1.119999960064888</v>
      </c>
    </row>
    <row r="75" spans="1:13" x14ac:dyDescent="0.25">
      <c r="A75" t="s">
        <v>139</v>
      </c>
      <c r="B75">
        <v>4</v>
      </c>
      <c r="C75" t="s">
        <v>36</v>
      </c>
      <c r="D75" t="s">
        <v>477</v>
      </c>
      <c r="E75" t="s">
        <v>478</v>
      </c>
      <c r="F75" s="1">
        <v>1.3888888888888888E-5</v>
      </c>
      <c r="G75" t="s">
        <v>16</v>
      </c>
      <c r="H75">
        <v>2</v>
      </c>
      <c r="I75">
        <v>161</v>
      </c>
      <c r="J75">
        <v>163</v>
      </c>
      <c r="L75" t="s">
        <v>17</v>
      </c>
      <c r="M75" s="3">
        <f t="shared" si="28"/>
        <v>1.1919996701180935</v>
      </c>
    </row>
    <row r="76" spans="1:13" x14ac:dyDescent="0.25">
      <c r="A76" t="s">
        <v>139</v>
      </c>
      <c r="B76">
        <v>5</v>
      </c>
      <c r="C76" t="s">
        <v>36</v>
      </c>
      <c r="D76" t="s">
        <v>479</v>
      </c>
      <c r="E76" t="s">
        <v>480</v>
      </c>
      <c r="F76" s="1">
        <v>1.3888888888888888E-5</v>
      </c>
      <c r="G76" t="s">
        <v>16</v>
      </c>
      <c r="H76">
        <v>2</v>
      </c>
      <c r="I76">
        <v>161</v>
      </c>
      <c r="J76">
        <v>163</v>
      </c>
      <c r="L76" t="s">
        <v>17</v>
      </c>
      <c r="M76" s="3">
        <f t="shared" si="28"/>
        <v>1.2230005580931902</v>
      </c>
    </row>
    <row r="77" spans="1:13" x14ac:dyDescent="0.25">
      <c r="A77" t="s">
        <v>139</v>
      </c>
      <c r="B77">
        <v>6</v>
      </c>
      <c r="C77" t="s">
        <v>36</v>
      </c>
      <c r="D77" t="s">
        <v>481</v>
      </c>
      <c r="E77" t="s">
        <v>482</v>
      </c>
      <c r="F77" s="1">
        <v>1.1574074074074073E-5</v>
      </c>
      <c r="G77" t="s">
        <v>16</v>
      </c>
      <c r="H77">
        <v>2</v>
      </c>
      <c r="I77">
        <v>161</v>
      </c>
      <c r="J77">
        <v>163</v>
      </c>
      <c r="L77" t="s">
        <v>17</v>
      </c>
      <c r="M77" s="3">
        <f t="shared" si="28"/>
        <v>0.99999960511922836</v>
      </c>
    </row>
    <row r="78" spans="1:13" x14ac:dyDescent="0.25">
      <c r="A78" t="s">
        <v>139</v>
      </c>
      <c r="B78">
        <v>7</v>
      </c>
      <c r="C78" t="s">
        <v>36</v>
      </c>
      <c r="D78" t="s">
        <v>483</v>
      </c>
      <c r="E78" t="s">
        <v>484</v>
      </c>
      <c r="F78" s="1">
        <v>1.6203703703703704E-5</v>
      </c>
      <c r="G78" t="s">
        <v>16</v>
      </c>
      <c r="H78">
        <v>2</v>
      </c>
      <c r="I78">
        <v>161</v>
      </c>
      <c r="J78">
        <v>163</v>
      </c>
      <c r="L78" t="s">
        <v>17</v>
      </c>
      <c r="M78" s="3">
        <f t="shared" si="28"/>
        <v>1.036000088788569</v>
      </c>
    </row>
    <row r="79" spans="1:13" x14ac:dyDescent="0.25">
      <c r="A79" t="s">
        <v>139</v>
      </c>
      <c r="B79">
        <v>8</v>
      </c>
      <c r="C79" t="s">
        <v>36</v>
      </c>
      <c r="D79" t="s">
        <v>485</v>
      </c>
      <c r="E79" t="s">
        <v>486</v>
      </c>
      <c r="F79" s="1">
        <v>1.2731481481481482E-5</v>
      </c>
      <c r="G79" t="s">
        <v>16</v>
      </c>
      <c r="H79">
        <v>2</v>
      </c>
      <c r="I79">
        <v>161</v>
      </c>
      <c r="J79">
        <v>163</v>
      </c>
      <c r="L79" t="s">
        <v>17</v>
      </c>
      <c r="M79" s="3">
        <f t="shared" si="28"/>
        <v>1.1309999506920576</v>
      </c>
    </row>
    <row r="80" spans="1:13" x14ac:dyDescent="0.25">
      <c r="A80" t="s">
        <v>139</v>
      </c>
      <c r="B80">
        <v>9</v>
      </c>
      <c r="C80" t="s">
        <v>36</v>
      </c>
      <c r="D80" t="s">
        <v>487</v>
      </c>
      <c r="E80" t="s">
        <v>488</v>
      </c>
      <c r="F80" s="1">
        <v>1.1574074074074073E-5</v>
      </c>
      <c r="G80" t="s">
        <v>16</v>
      </c>
      <c r="H80">
        <v>2</v>
      </c>
      <c r="I80">
        <v>161</v>
      </c>
      <c r="J80">
        <v>163</v>
      </c>
      <c r="L80" t="s">
        <v>17</v>
      </c>
      <c r="M80" s="3">
        <f t="shared" si="28"/>
        <v>0.99400046747177839</v>
      </c>
    </row>
    <row r="81" spans="1:13" x14ac:dyDescent="0.25">
      <c r="A81" t="s">
        <v>139</v>
      </c>
      <c r="B81">
        <v>10</v>
      </c>
      <c r="C81" t="s">
        <v>36</v>
      </c>
      <c r="D81" t="s">
        <v>489</v>
      </c>
      <c r="E81" t="s">
        <v>490</v>
      </c>
      <c r="F81" s="1">
        <v>1.2731481481481482E-5</v>
      </c>
      <c r="G81" t="s">
        <v>16</v>
      </c>
      <c r="H81">
        <v>2</v>
      </c>
      <c r="I81">
        <v>161</v>
      </c>
      <c r="J81">
        <v>163</v>
      </c>
      <c r="L81" t="s">
        <v>17</v>
      </c>
      <c r="M81" s="3">
        <f t="shared" si="28"/>
        <v>1.1440002825111151</v>
      </c>
    </row>
    <row r="82" spans="1:13" x14ac:dyDescent="0.25">
      <c r="A82" t="s">
        <v>139</v>
      </c>
      <c r="B82">
        <v>1</v>
      </c>
      <c r="C82" t="s">
        <v>57</v>
      </c>
      <c r="D82" t="s">
        <v>491</v>
      </c>
      <c r="E82" t="s">
        <v>492</v>
      </c>
      <c r="F82" s="1">
        <v>1.5046296296296297E-5</v>
      </c>
      <c r="G82" t="s">
        <v>16</v>
      </c>
      <c r="H82">
        <v>2</v>
      </c>
      <c r="I82">
        <v>94</v>
      </c>
      <c r="J82">
        <v>96</v>
      </c>
      <c r="L82" t="s">
        <v>17</v>
      </c>
      <c r="M82" s="3">
        <f t="shared" si="28"/>
        <v>1.3189999619498849</v>
      </c>
    </row>
    <row r="83" spans="1:13" x14ac:dyDescent="0.25">
      <c r="A83" t="s">
        <v>139</v>
      </c>
      <c r="B83">
        <v>2</v>
      </c>
      <c r="C83" t="s">
        <v>57</v>
      </c>
      <c r="D83" t="s">
        <v>493</v>
      </c>
      <c r="E83" t="s">
        <v>494</v>
      </c>
      <c r="F83" s="1">
        <v>1.2731481481481482E-5</v>
      </c>
      <c r="G83" t="s">
        <v>16</v>
      </c>
      <c r="H83">
        <v>2</v>
      </c>
      <c r="I83">
        <v>94</v>
      </c>
      <c r="J83">
        <v>96</v>
      </c>
      <c r="L83" t="s">
        <v>17</v>
      </c>
      <c r="M83" s="3">
        <f t="shared" si="28"/>
        <v>1.1360001750290394</v>
      </c>
    </row>
    <row r="84" spans="1:13" x14ac:dyDescent="0.25">
      <c r="A84" t="s">
        <v>139</v>
      </c>
      <c r="B84">
        <v>3</v>
      </c>
      <c r="C84" t="s">
        <v>57</v>
      </c>
      <c r="D84" t="s">
        <v>495</v>
      </c>
      <c r="E84" t="s">
        <v>496</v>
      </c>
      <c r="F84" s="1">
        <v>1.3888888888888888E-5</v>
      </c>
      <c r="G84" t="s">
        <v>16</v>
      </c>
      <c r="H84">
        <v>2</v>
      </c>
      <c r="I84">
        <v>94</v>
      </c>
      <c r="J84">
        <v>96</v>
      </c>
      <c r="L84" t="s">
        <v>17</v>
      </c>
      <c r="M84" s="3">
        <f t="shared" si="28"/>
        <v>1.2189998757094145</v>
      </c>
    </row>
    <row r="85" spans="1:13" x14ac:dyDescent="0.25">
      <c r="A85" t="s">
        <v>139</v>
      </c>
      <c r="B85">
        <v>4</v>
      </c>
      <c r="C85" t="s">
        <v>57</v>
      </c>
      <c r="D85" t="s">
        <v>497</v>
      </c>
      <c r="E85" t="s">
        <v>498</v>
      </c>
      <c r="F85" s="1">
        <v>1.7361111111111111E-5</v>
      </c>
      <c r="G85" t="s">
        <v>16</v>
      </c>
      <c r="H85">
        <v>2</v>
      </c>
      <c r="I85">
        <v>94</v>
      </c>
      <c r="J85">
        <v>96</v>
      </c>
      <c r="L85" t="s">
        <v>17</v>
      </c>
      <c r="M85" s="3">
        <f t="shared" si="28"/>
        <v>1.0489997919648886</v>
      </c>
    </row>
    <row r="86" spans="1:13" x14ac:dyDescent="0.25">
      <c r="A86" t="s">
        <v>139</v>
      </c>
      <c r="B86">
        <v>5</v>
      </c>
      <c r="C86" t="s">
        <v>57</v>
      </c>
      <c r="D86" t="s">
        <v>499</v>
      </c>
      <c r="E86" t="s">
        <v>500</v>
      </c>
      <c r="F86" s="1">
        <v>1.3888888888888888E-5</v>
      </c>
      <c r="G86" t="s">
        <v>16</v>
      </c>
      <c r="H86">
        <v>2</v>
      </c>
      <c r="I86">
        <v>94</v>
      </c>
      <c r="J86">
        <v>96</v>
      </c>
      <c r="L86" t="s">
        <v>17</v>
      </c>
      <c r="M86" s="3">
        <f t="shared" si="28"/>
        <v>1.1599998688325286</v>
      </c>
    </row>
    <row r="87" spans="1:13" x14ac:dyDescent="0.25">
      <c r="A87" t="s">
        <v>139</v>
      </c>
      <c r="B87">
        <v>6</v>
      </c>
      <c r="C87" t="s">
        <v>57</v>
      </c>
      <c r="D87" t="s">
        <v>501</v>
      </c>
      <c r="E87" t="s">
        <v>502</v>
      </c>
      <c r="F87" s="1">
        <v>1.2731481481481482E-5</v>
      </c>
      <c r="G87" t="s">
        <v>16</v>
      </c>
      <c r="H87">
        <v>2</v>
      </c>
      <c r="I87">
        <v>94</v>
      </c>
      <c r="J87">
        <v>96</v>
      </c>
      <c r="L87" t="s">
        <v>17</v>
      </c>
      <c r="M87" s="3">
        <f t="shared" si="28"/>
        <v>1.1290002381429076</v>
      </c>
    </row>
    <row r="88" spans="1:13" x14ac:dyDescent="0.25">
      <c r="A88" t="s">
        <v>139</v>
      </c>
      <c r="B88">
        <v>7</v>
      </c>
      <c r="C88" t="s">
        <v>57</v>
      </c>
      <c r="D88" t="s">
        <v>503</v>
      </c>
      <c r="E88" t="s">
        <v>504</v>
      </c>
      <c r="F88" s="1">
        <v>1.1574074074074073E-5</v>
      </c>
      <c r="G88" t="s">
        <v>16</v>
      </c>
      <c r="H88">
        <v>2</v>
      </c>
      <c r="I88">
        <v>94</v>
      </c>
      <c r="J88">
        <v>96</v>
      </c>
      <c r="L88" t="s">
        <v>17</v>
      </c>
      <c r="M88" s="3">
        <f t="shared" si="28"/>
        <v>0.97599991131573915</v>
      </c>
    </row>
    <row r="89" spans="1:13" x14ac:dyDescent="0.25">
      <c r="A89" t="s">
        <v>139</v>
      </c>
      <c r="B89">
        <v>8</v>
      </c>
      <c r="C89" t="s">
        <v>57</v>
      </c>
      <c r="D89" t="s">
        <v>505</v>
      </c>
      <c r="E89" t="s">
        <v>506</v>
      </c>
      <c r="F89" s="1">
        <v>1.3888888888888888E-5</v>
      </c>
      <c r="G89" t="s">
        <v>16</v>
      </c>
      <c r="H89">
        <v>2</v>
      </c>
      <c r="I89">
        <v>94</v>
      </c>
      <c r="J89">
        <v>96</v>
      </c>
      <c r="L89" t="s">
        <v>17</v>
      </c>
      <c r="M89" s="3">
        <f t="shared" si="28"/>
        <v>1.2249996419996023</v>
      </c>
    </row>
    <row r="90" spans="1:13" x14ac:dyDescent="0.25">
      <c r="A90" t="s">
        <v>139</v>
      </c>
      <c r="B90">
        <v>9</v>
      </c>
      <c r="C90" t="s">
        <v>57</v>
      </c>
      <c r="D90" t="s">
        <v>507</v>
      </c>
      <c r="E90" t="s">
        <v>508</v>
      </c>
      <c r="F90" s="1">
        <v>1.2731481481481482E-5</v>
      </c>
      <c r="G90" t="s">
        <v>16</v>
      </c>
      <c r="H90">
        <v>2</v>
      </c>
      <c r="I90">
        <v>94</v>
      </c>
      <c r="J90">
        <v>96</v>
      </c>
      <c r="L90" t="s">
        <v>17</v>
      </c>
      <c r="M90" s="3">
        <f t="shared" si="28"/>
        <v>1.1319994926452637</v>
      </c>
    </row>
    <row r="91" spans="1:13" x14ac:dyDescent="0.25">
      <c r="A91" t="s">
        <v>139</v>
      </c>
      <c r="B91">
        <v>10</v>
      </c>
      <c r="C91" t="s">
        <v>57</v>
      </c>
      <c r="D91" t="s">
        <v>509</v>
      </c>
      <c r="E91" t="s">
        <v>510</v>
      </c>
      <c r="F91" s="1">
        <v>1.1574074074074073E-5</v>
      </c>
      <c r="G91" t="s">
        <v>16</v>
      </c>
      <c r="H91">
        <v>2</v>
      </c>
      <c r="I91">
        <v>94</v>
      </c>
      <c r="J91">
        <v>96</v>
      </c>
      <c r="L91" t="s">
        <v>17</v>
      </c>
      <c r="M91" s="3">
        <f t="shared" si="28"/>
        <v>0.96300020813941956</v>
      </c>
    </row>
    <row r="92" spans="1:13" x14ac:dyDescent="0.25">
      <c r="A92" t="s">
        <v>200</v>
      </c>
      <c r="B92">
        <v>1</v>
      </c>
      <c r="C92" t="s">
        <v>13</v>
      </c>
      <c r="D92" t="s">
        <v>511</v>
      </c>
      <c r="E92" t="s">
        <v>512</v>
      </c>
      <c r="F92" s="1">
        <v>1.5046296296296297E-5</v>
      </c>
      <c r="G92" t="s">
        <v>16</v>
      </c>
      <c r="H92">
        <v>3</v>
      </c>
      <c r="I92">
        <v>67</v>
      </c>
      <c r="J92">
        <v>70</v>
      </c>
      <c r="L92" t="s">
        <v>17</v>
      </c>
      <c r="M92" s="3">
        <f t="shared" si="28"/>
        <v>1.2980001512914896</v>
      </c>
    </row>
    <row r="93" spans="1:13" x14ac:dyDescent="0.25">
      <c r="A93" t="s">
        <v>200</v>
      </c>
      <c r="B93">
        <v>2</v>
      </c>
      <c r="C93" t="s">
        <v>13</v>
      </c>
      <c r="D93" t="s">
        <v>513</v>
      </c>
      <c r="E93" t="s">
        <v>514</v>
      </c>
      <c r="F93" s="1">
        <v>1.5046296296296297E-5</v>
      </c>
      <c r="G93" t="s">
        <v>16</v>
      </c>
      <c r="H93">
        <v>3</v>
      </c>
      <c r="I93">
        <v>67</v>
      </c>
      <c r="J93">
        <v>70</v>
      </c>
      <c r="L93" t="s">
        <v>17</v>
      </c>
      <c r="M93" s="3">
        <f t="shared" si="28"/>
        <v>1.3100003125146031</v>
      </c>
    </row>
    <row r="94" spans="1:13" x14ac:dyDescent="0.25">
      <c r="A94" t="s">
        <v>200</v>
      </c>
      <c r="B94">
        <v>3</v>
      </c>
      <c r="C94" t="s">
        <v>13</v>
      </c>
      <c r="D94" t="s">
        <v>515</v>
      </c>
      <c r="E94" t="s">
        <v>516</v>
      </c>
      <c r="F94" s="1">
        <v>1.3888888888888888E-5</v>
      </c>
      <c r="G94" t="s">
        <v>16</v>
      </c>
      <c r="H94">
        <v>3</v>
      </c>
      <c r="I94">
        <v>67</v>
      </c>
      <c r="J94">
        <v>70</v>
      </c>
      <c r="L94" t="s">
        <v>17</v>
      </c>
      <c r="M94" s="3">
        <f t="shared" si="28"/>
        <v>1.2400003150105476</v>
      </c>
    </row>
    <row r="95" spans="1:13" x14ac:dyDescent="0.25">
      <c r="A95" t="s">
        <v>200</v>
      </c>
      <c r="B95">
        <v>4</v>
      </c>
      <c r="C95" t="s">
        <v>13</v>
      </c>
      <c r="D95" t="s">
        <v>517</v>
      </c>
      <c r="E95" t="s">
        <v>518</v>
      </c>
      <c r="F95" s="1">
        <v>1.6203703703703704E-5</v>
      </c>
      <c r="G95" t="s">
        <v>16</v>
      </c>
      <c r="H95">
        <v>3</v>
      </c>
      <c r="I95">
        <v>67</v>
      </c>
      <c r="J95">
        <v>70</v>
      </c>
      <c r="L95" t="s">
        <v>17</v>
      </c>
      <c r="M95" s="3">
        <f t="shared" si="28"/>
        <v>1.3629999244585633</v>
      </c>
    </row>
    <row r="96" spans="1:13" x14ac:dyDescent="0.25">
      <c r="A96" t="s">
        <v>200</v>
      </c>
      <c r="B96">
        <v>5</v>
      </c>
      <c r="C96" t="s">
        <v>13</v>
      </c>
      <c r="D96" t="s">
        <v>519</v>
      </c>
      <c r="E96" t="s">
        <v>520</v>
      </c>
      <c r="F96" s="1">
        <v>1.2731481481481482E-5</v>
      </c>
      <c r="G96" t="s">
        <v>16</v>
      </c>
      <c r="H96">
        <v>3</v>
      </c>
      <c r="I96">
        <v>67</v>
      </c>
      <c r="J96">
        <v>70</v>
      </c>
      <c r="L96" t="s">
        <v>17</v>
      </c>
      <c r="M96" s="3">
        <f t="shared" si="28"/>
        <v>1.1100001400336623</v>
      </c>
    </row>
    <row r="97" spans="1:13" x14ac:dyDescent="0.25">
      <c r="A97" t="s">
        <v>200</v>
      </c>
      <c r="B97">
        <v>6</v>
      </c>
      <c r="C97" t="s">
        <v>13</v>
      </c>
      <c r="D97" t="s">
        <v>521</v>
      </c>
      <c r="E97" t="s">
        <v>522</v>
      </c>
      <c r="F97" s="1">
        <v>2.6620370370370369E-5</v>
      </c>
      <c r="G97" t="s">
        <v>16</v>
      </c>
      <c r="H97">
        <v>3</v>
      </c>
      <c r="I97">
        <v>67</v>
      </c>
      <c r="J97">
        <v>70</v>
      </c>
      <c r="L97" t="s">
        <v>17</v>
      </c>
      <c r="M97" s="3">
        <f t="shared" si="28"/>
        <v>2.2619999013841152</v>
      </c>
    </row>
    <row r="98" spans="1:13" x14ac:dyDescent="0.25">
      <c r="A98" t="s">
        <v>200</v>
      </c>
      <c r="B98">
        <v>7</v>
      </c>
      <c r="C98" t="s">
        <v>13</v>
      </c>
      <c r="D98" t="s">
        <v>523</v>
      </c>
      <c r="E98" t="s">
        <v>524</v>
      </c>
      <c r="F98" s="1">
        <v>1.5046296296296297E-5</v>
      </c>
      <c r="G98" t="s">
        <v>16</v>
      </c>
      <c r="H98">
        <v>3</v>
      </c>
      <c r="I98">
        <v>67</v>
      </c>
      <c r="J98">
        <v>70</v>
      </c>
      <c r="L98" t="s">
        <v>17</v>
      </c>
      <c r="M98" s="3">
        <f t="shared" si="28"/>
        <v>1.2669998919591308</v>
      </c>
    </row>
    <row r="99" spans="1:13" x14ac:dyDescent="0.25">
      <c r="A99" t="s">
        <v>200</v>
      </c>
      <c r="B99">
        <v>8</v>
      </c>
      <c r="C99" t="s">
        <v>13</v>
      </c>
      <c r="D99" t="s">
        <v>525</v>
      </c>
      <c r="E99" t="s">
        <v>526</v>
      </c>
      <c r="F99" s="1">
        <v>1.5046296296296297E-5</v>
      </c>
      <c r="G99" t="s">
        <v>16</v>
      </c>
      <c r="H99">
        <v>3</v>
      </c>
      <c r="I99">
        <v>67</v>
      </c>
      <c r="J99">
        <v>70</v>
      </c>
      <c r="L99" t="s">
        <v>17</v>
      </c>
      <c r="M99" s="3">
        <f t="shared" si="28"/>
        <v>1.2859999900683761</v>
      </c>
    </row>
    <row r="100" spans="1:13" x14ac:dyDescent="0.25">
      <c r="A100" t="s">
        <v>200</v>
      </c>
      <c r="B100">
        <v>9</v>
      </c>
      <c r="C100" t="s">
        <v>13</v>
      </c>
      <c r="D100" t="s">
        <v>527</v>
      </c>
      <c r="E100" t="s">
        <v>528</v>
      </c>
      <c r="F100" s="1">
        <v>1.5046296296296297E-5</v>
      </c>
      <c r="G100" t="s">
        <v>16</v>
      </c>
      <c r="H100">
        <v>3</v>
      </c>
      <c r="I100">
        <v>67</v>
      </c>
      <c r="J100">
        <v>70</v>
      </c>
      <c r="L100" t="s">
        <v>17</v>
      </c>
      <c r="M100" s="3">
        <f t="shared" si="28"/>
        <v>1.2729996582493186</v>
      </c>
    </row>
    <row r="101" spans="1:13" x14ac:dyDescent="0.25">
      <c r="A101" t="s">
        <v>200</v>
      </c>
      <c r="B101">
        <v>10</v>
      </c>
      <c r="C101" t="s">
        <v>13</v>
      </c>
      <c r="D101" t="s">
        <v>529</v>
      </c>
      <c r="E101" t="s">
        <v>530</v>
      </c>
      <c r="F101" s="1">
        <v>1.2731481481481482E-5</v>
      </c>
      <c r="G101" t="s">
        <v>16</v>
      </c>
      <c r="H101">
        <v>3</v>
      </c>
      <c r="I101">
        <v>67</v>
      </c>
      <c r="J101">
        <v>70</v>
      </c>
      <c r="L101" t="s">
        <v>17</v>
      </c>
      <c r="M101" s="3">
        <f t="shared" si="28"/>
        <v>1.1210001306608319</v>
      </c>
    </row>
    <row r="102" spans="1:13" x14ac:dyDescent="0.25">
      <c r="A102" t="s">
        <v>200</v>
      </c>
      <c r="B102">
        <v>1</v>
      </c>
      <c r="C102" t="s">
        <v>36</v>
      </c>
      <c r="D102" t="s">
        <v>531</v>
      </c>
      <c r="E102" t="s">
        <v>532</v>
      </c>
      <c r="F102" s="1">
        <v>1.2731481481481482E-5</v>
      </c>
      <c r="G102" t="s">
        <v>16</v>
      </c>
      <c r="H102">
        <v>3</v>
      </c>
      <c r="I102">
        <v>139</v>
      </c>
      <c r="J102">
        <v>142</v>
      </c>
      <c r="L102" t="s">
        <v>17</v>
      </c>
      <c r="M102" s="3">
        <f t="shared" si="28"/>
        <v>1.1320001212880015</v>
      </c>
    </row>
    <row r="103" spans="1:13" x14ac:dyDescent="0.25">
      <c r="A103" t="s">
        <v>200</v>
      </c>
      <c r="B103">
        <v>2</v>
      </c>
      <c r="C103" t="s">
        <v>36</v>
      </c>
      <c r="D103" t="s">
        <v>533</v>
      </c>
      <c r="E103" t="s">
        <v>534</v>
      </c>
      <c r="F103" s="1">
        <v>1.3888888888888888E-5</v>
      </c>
      <c r="G103" t="s">
        <v>16</v>
      </c>
      <c r="H103">
        <v>3</v>
      </c>
      <c r="I103">
        <v>139</v>
      </c>
      <c r="J103">
        <v>142</v>
      </c>
      <c r="L103" t="s">
        <v>17</v>
      </c>
      <c r="M103" s="3">
        <f t="shared" si="28"/>
        <v>1.1819998500868678</v>
      </c>
    </row>
    <row r="104" spans="1:13" x14ac:dyDescent="0.25">
      <c r="A104" t="s">
        <v>200</v>
      </c>
      <c r="B104">
        <v>3</v>
      </c>
      <c r="C104" t="s">
        <v>36</v>
      </c>
      <c r="D104" t="s">
        <v>535</v>
      </c>
      <c r="E104" t="s">
        <v>536</v>
      </c>
      <c r="F104" s="1">
        <v>1.2731481481481482E-5</v>
      </c>
      <c r="G104" t="s">
        <v>16</v>
      </c>
      <c r="H104">
        <v>3</v>
      </c>
      <c r="I104">
        <v>139</v>
      </c>
      <c r="J104">
        <v>142</v>
      </c>
      <c r="L104" t="s">
        <v>17</v>
      </c>
      <c r="M104" s="3">
        <f t="shared" si="28"/>
        <v>1.1060000862926245</v>
      </c>
    </row>
    <row r="105" spans="1:13" x14ac:dyDescent="0.25">
      <c r="A105" t="s">
        <v>200</v>
      </c>
      <c r="B105">
        <v>4</v>
      </c>
      <c r="C105" t="s">
        <v>36</v>
      </c>
      <c r="D105" t="s">
        <v>537</v>
      </c>
      <c r="E105" t="s">
        <v>538</v>
      </c>
      <c r="F105" s="1">
        <v>1.3888888888888888E-5</v>
      </c>
      <c r="G105" t="s">
        <v>16</v>
      </c>
      <c r="H105">
        <v>3</v>
      </c>
      <c r="I105">
        <v>139</v>
      </c>
      <c r="J105">
        <v>142</v>
      </c>
      <c r="L105" t="s">
        <v>17</v>
      </c>
      <c r="M105" s="3">
        <f t="shared" si="28"/>
        <v>1.2460000813007355</v>
      </c>
    </row>
    <row r="106" spans="1:13" x14ac:dyDescent="0.25">
      <c r="A106" t="s">
        <v>200</v>
      </c>
      <c r="B106">
        <v>5</v>
      </c>
      <c r="C106" t="s">
        <v>36</v>
      </c>
      <c r="D106" t="s">
        <v>539</v>
      </c>
      <c r="E106" t="s">
        <v>540</v>
      </c>
      <c r="F106" s="1">
        <v>1.7361111111111111E-5</v>
      </c>
      <c r="G106" t="s">
        <v>16</v>
      </c>
      <c r="H106">
        <v>3</v>
      </c>
      <c r="I106">
        <v>139</v>
      </c>
      <c r="J106">
        <v>142</v>
      </c>
      <c r="L106" t="s">
        <v>17</v>
      </c>
      <c r="M106" s="3">
        <f t="shared" si="28"/>
        <v>1.5049996320158243</v>
      </c>
    </row>
    <row r="107" spans="1:13" x14ac:dyDescent="0.25">
      <c r="A107" t="s">
        <v>200</v>
      </c>
      <c r="B107">
        <v>6</v>
      </c>
      <c r="C107" t="s">
        <v>36</v>
      </c>
      <c r="D107" t="s">
        <v>541</v>
      </c>
      <c r="E107" t="s">
        <v>542</v>
      </c>
      <c r="F107" s="1">
        <v>1.5046296296296297E-5</v>
      </c>
      <c r="G107" t="s">
        <v>16</v>
      </c>
      <c r="H107">
        <v>3</v>
      </c>
      <c r="I107">
        <v>139</v>
      </c>
      <c r="J107">
        <v>142</v>
      </c>
      <c r="L107" t="s">
        <v>17</v>
      </c>
      <c r="M107" s="3">
        <f t="shared" si="28"/>
        <v>1.2590004131197929</v>
      </c>
    </row>
    <row r="108" spans="1:13" x14ac:dyDescent="0.25">
      <c r="A108" t="s">
        <v>200</v>
      </c>
      <c r="B108">
        <v>7</v>
      </c>
      <c r="C108" t="s">
        <v>36</v>
      </c>
      <c r="D108" t="s">
        <v>543</v>
      </c>
      <c r="E108" t="s">
        <v>544</v>
      </c>
      <c r="F108" s="1">
        <v>1.3888888888888888E-5</v>
      </c>
      <c r="G108" t="s">
        <v>16</v>
      </c>
      <c r="H108">
        <v>3</v>
      </c>
      <c r="I108">
        <v>139</v>
      </c>
      <c r="J108">
        <v>142</v>
      </c>
      <c r="L108" t="s">
        <v>17</v>
      </c>
      <c r="M108" s="3">
        <f t="shared" si="28"/>
        <v>1.1770002543926239</v>
      </c>
    </row>
    <row r="109" spans="1:13" x14ac:dyDescent="0.25">
      <c r="A109" t="s">
        <v>200</v>
      </c>
      <c r="B109">
        <v>8</v>
      </c>
      <c r="C109" t="s">
        <v>36</v>
      </c>
      <c r="D109" t="s">
        <v>545</v>
      </c>
      <c r="E109" t="s">
        <v>546</v>
      </c>
      <c r="F109" s="1">
        <v>1.3888888888888888E-5</v>
      </c>
      <c r="G109" t="s">
        <v>16</v>
      </c>
      <c r="H109">
        <v>3</v>
      </c>
      <c r="I109">
        <v>139</v>
      </c>
      <c r="J109">
        <v>142</v>
      </c>
      <c r="L109" t="s">
        <v>17</v>
      </c>
      <c r="M109" s="3">
        <f t="shared" si="28"/>
        <v>1.2259998125955462</v>
      </c>
    </row>
    <row r="110" spans="1:13" x14ac:dyDescent="0.25">
      <c r="A110" t="s">
        <v>200</v>
      </c>
      <c r="B110">
        <v>9</v>
      </c>
      <c r="C110" t="s">
        <v>36</v>
      </c>
      <c r="D110" t="s">
        <v>547</v>
      </c>
      <c r="E110" t="s">
        <v>548</v>
      </c>
      <c r="F110" s="1">
        <v>1.5046296296296297E-5</v>
      </c>
      <c r="G110" t="s">
        <v>16</v>
      </c>
      <c r="H110">
        <v>3</v>
      </c>
      <c r="I110">
        <v>139</v>
      </c>
      <c r="J110">
        <v>142</v>
      </c>
      <c r="L110" t="s">
        <v>17</v>
      </c>
      <c r="M110" s="3">
        <f t="shared" si="28"/>
        <v>1.2749999994412065</v>
      </c>
    </row>
    <row r="111" spans="1:13" x14ac:dyDescent="0.25">
      <c r="A111" t="s">
        <v>200</v>
      </c>
      <c r="B111">
        <v>10</v>
      </c>
      <c r="C111" t="s">
        <v>36</v>
      </c>
      <c r="D111" t="s">
        <v>549</v>
      </c>
      <c r="E111" t="s">
        <v>550</v>
      </c>
      <c r="F111" s="1">
        <v>2.8935185185185186E-5</v>
      </c>
      <c r="G111" t="s">
        <v>16</v>
      </c>
      <c r="H111">
        <v>3</v>
      </c>
      <c r="I111">
        <v>139</v>
      </c>
      <c r="J111">
        <v>142</v>
      </c>
      <c r="L111" t="s">
        <v>17</v>
      </c>
      <c r="M111" s="3">
        <f t="shared" si="28"/>
        <v>2.5370002957060933</v>
      </c>
    </row>
    <row r="112" spans="1:13" x14ac:dyDescent="0.25">
      <c r="A112" t="s">
        <v>200</v>
      </c>
      <c r="B112">
        <v>1</v>
      </c>
      <c r="C112" t="s">
        <v>57</v>
      </c>
      <c r="D112" t="s">
        <v>551</v>
      </c>
      <c r="E112" t="s">
        <v>552</v>
      </c>
      <c r="F112" s="1">
        <v>1.5046296296296297E-5</v>
      </c>
      <c r="G112" t="s">
        <v>16</v>
      </c>
      <c r="H112">
        <v>3</v>
      </c>
      <c r="I112">
        <v>101</v>
      </c>
      <c r="J112">
        <v>104</v>
      </c>
      <c r="L112" t="s">
        <v>17</v>
      </c>
      <c r="M112" s="3">
        <f t="shared" si="28"/>
        <v>1.2690002331510186</v>
      </c>
    </row>
    <row r="113" spans="1:13" x14ac:dyDescent="0.25">
      <c r="A113" t="s">
        <v>200</v>
      </c>
      <c r="B113">
        <v>2</v>
      </c>
      <c r="C113" t="s">
        <v>57</v>
      </c>
      <c r="D113" t="s">
        <v>553</v>
      </c>
      <c r="E113" t="s">
        <v>554</v>
      </c>
      <c r="F113" s="1">
        <v>1.3888888888888888E-5</v>
      </c>
      <c r="G113" t="s">
        <v>16</v>
      </c>
      <c r="H113">
        <v>3</v>
      </c>
      <c r="I113">
        <v>101</v>
      </c>
      <c r="J113">
        <v>104</v>
      </c>
      <c r="L113" t="s">
        <v>17</v>
      </c>
      <c r="M113" s="3">
        <f t="shared" si="28"/>
        <v>1.2370004318654537</v>
      </c>
    </row>
    <row r="114" spans="1:13" x14ac:dyDescent="0.25">
      <c r="A114" t="s">
        <v>200</v>
      </c>
      <c r="B114">
        <v>3</v>
      </c>
      <c r="C114" t="s">
        <v>57</v>
      </c>
      <c r="D114" t="s">
        <v>555</v>
      </c>
      <c r="E114" t="s">
        <v>556</v>
      </c>
      <c r="F114" s="1">
        <v>1.3888888888888888E-5</v>
      </c>
      <c r="G114" t="s">
        <v>16</v>
      </c>
      <c r="H114">
        <v>3</v>
      </c>
      <c r="I114">
        <v>101</v>
      </c>
      <c r="J114">
        <v>104</v>
      </c>
      <c r="L114" t="s">
        <v>17</v>
      </c>
      <c r="M114" s="3">
        <f t="shared" si="28"/>
        <v>1.1559998150914907</v>
      </c>
    </row>
    <row r="115" spans="1:13" x14ac:dyDescent="0.25">
      <c r="A115" t="s">
        <v>200</v>
      </c>
      <c r="B115">
        <v>4</v>
      </c>
      <c r="C115" t="s">
        <v>57</v>
      </c>
      <c r="D115" t="s">
        <v>557</v>
      </c>
      <c r="E115" t="s">
        <v>558</v>
      </c>
      <c r="F115" s="1">
        <v>1.3888888888888888E-5</v>
      </c>
      <c r="G115" t="s">
        <v>16</v>
      </c>
      <c r="H115">
        <v>3</v>
      </c>
      <c r="I115">
        <v>101</v>
      </c>
      <c r="J115">
        <v>104</v>
      </c>
      <c r="L115" t="s">
        <v>17</v>
      </c>
      <c r="M115" s="3">
        <f t="shared" si="28"/>
        <v>1.2350000906735659</v>
      </c>
    </row>
    <row r="116" spans="1:13" x14ac:dyDescent="0.25">
      <c r="A116" t="s">
        <v>200</v>
      </c>
      <c r="B116">
        <v>5</v>
      </c>
      <c r="C116" t="s">
        <v>57</v>
      </c>
      <c r="D116" t="s">
        <v>559</v>
      </c>
      <c r="E116" t="s">
        <v>560</v>
      </c>
      <c r="F116" s="1">
        <v>1.2731481481481482E-5</v>
      </c>
      <c r="G116" t="s">
        <v>16</v>
      </c>
      <c r="H116">
        <v>3</v>
      </c>
      <c r="I116">
        <v>101</v>
      </c>
      <c r="J116">
        <v>104</v>
      </c>
      <c r="L116" t="s">
        <v>17</v>
      </c>
      <c r="M116" s="3">
        <f t="shared" si="28"/>
        <v>1.1229998432099819</v>
      </c>
    </row>
    <row r="117" spans="1:13" x14ac:dyDescent="0.25">
      <c r="A117" t="s">
        <v>200</v>
      </c>
      <c r="B117">
        <v>6</v>
      </c>
      <c r="C117" t="s">
        <v>57</v>
      </c>
      <c r="D117" t="s">
        <v>561</v>
      </c>
      <c r="E117" t="s">
        <v>562</v>
      </c>
      <c r="F117" s="1">
        <v>1.2731481481481482E-5</v>
      </c>
      <c r="G117" t="s">
        <v>16</v>
      </c>
      <c r="H117">
        <v>3</v>
      </c>
      <c r="I117">
        <v>101</v>
      </c>
      <c r="J117">
        <v>104</v>
      </c>
      <c r="L117" t="s">
        <v>17</v>
      </c>
      <c r="M117" s="3">
        <f t="shared" si="28"/>
        <v>1.1419999413192272</v>
      </c>
    </row>
    <row r="118" spans="1:13" x14ac:dyDescent="0.25">
      <c r="A118" t="s">
        <v>200</v>
      </c>
      <c r="B118">
        <v>7</v>
      </c>
      <c r="C118" t="s">
        <v>57</v>
      </c>
      <c r="D118" t="s">
        <v>563</v>
      </c>
      <c r="E118" t="s">
        <v>564</v>
      </c>
      <c r="F118" s="1">
        <v>1.3888888888888888E-5</v>
      </c>
      <c r="G118" t="s">
        <v>16</v>
      </c>
      <c r="H118">
        <v>3</v>
      </c>
      <c r="I118">
        <v>101</v>
      </c>
      <c r="J118">
        <v>104</v>
      </c>
      <c r="L118" t="s">
        <v>17</v>
      </c>
      <c r="M118" s="3">
        <f t="shared" si="28"/>
        <v>1.1679999763146043</v>
      </c>
    </row>
    <row r="119" spans="1:13" x14ac:dyDescent="0.25">
      <c r="A119" t="s">
        <v>200</v>
      </c>
      <c r="B119">
        <v>8</v>
      </c>
      <c r="C119" t="s">
        <v>57</v>
      </c>
      <c r="D119" t="s">
        <v>565</v>
      </c>
      <c r="E119" t="s">
        <v>566</v>
      </c>
      <c r="F119" s="1">
        <v>1.7361111111111111E-5</v>
      </c>
      <c r="G119" t="s">
        <v>16</v>
      </c>
      <c r="H119">
        <v>3</v>
      </c>
      <c r="I119">
        <v>101</v>
      </c>
      <c r="J119">
        <v>104</v>
      </c>
      <c r="L119" t="s">
        <v>17</v>
      </c>
      <c r="M119" s="3">
        <f t="shared" si="28"/>
        <v>1.4939996413886547</v>
      </c>
    </row>
    <row r="120" spans="1:13" x14ac:dyDescent="0.25">
      <c r="A120" t="s">
        <v>200</v>
      </c>
      <c r="B120">
        <v>9</v>
      </c>
      <c r="C120" t="s">
        <v>57</v>
      </c>
      <c r="D120" t="s">
        <v>567</v>
      </c>
      <c r="E120" t="s">
        <v>568</v>
      </c>
      <c r="F120" s="1">
        <v>1.2731481481481482E-5</v>
      </c>
      <c r="G120" t="s">
        <v>16</v>
      </c>
      <c r="H120">
        <v>3</v>
      </c>
      <c r="I120">
        <v>101</v>
      </c>
      <c r="J120">
        <v>104</v>
      </c>
      <c r="L120" t="s">
        <v>17</v>
      </c>
      <c r="M120" s="3">
        <f t="shared" si="28"/>
        <v>1.1350000044330955</v>
      </c>
    </row>
    <row r="121" spans="1:13" x14ac:dyDescent="0.25">
      <c r="A121" t="s">
        <v>200</v>
      </c>
      <c r="B121">
        <v>10</v>
      </c>
      <c r="C121" t="s">
        <v>57</v>
      </c>
      <c r="D121" t="s">
        <v>569</v>
      </c>
      <c r="E121" t="s">
        <v>570</v>
      </c>
      <c r="F121" s="1">
        <v>2.3148148148148147E-5</v>
      </c>
      <c r="G121" t="s">
        <v>16</v>
      </c>
      <c r="H121">
        <v>3</v>
      </c>
      <c r="I121">
        <v>101</v>
      </c>
      <c r="J121">
        <v>104</v>
      </c>
      <c r="L121" t="s">
        <v>17</v>
      </c>
      <c r="M121" s="3">
        <f t="shared" si="28"/>
        <v>1.0990001494064927</v>
      </c>
    </row>
    <row r="122" spans="1:13" x14ac:dyDescent="0.25">
      <c r="A122" t="s">
        <v>261</v>
      </c>
      <c r="B122">
        <v>1</v>
      </c>
      <c r="C122" t="s">
        <v>13</v>
      </c>
      <c r="D122" t="s">
        <v>571</v>
      </c>
      <c r="E122" t="s">
        <v>572</v>
      </c>
      <c r="F122" s="1">
        <v>2.0833333333333333E-5</v>
      </c>
      <c r="G122" t="s">
        <v>16</v>
      </c>
      <c r="H122">
        <v>3</v>
      </c>
      <c r="I122">
        <v>91</v>
      </c>
      <c r="J122">
        <v>94</v>
      </c>
      <c r="L122" t="s">
        <v>17</v>
      </c>
      <c r="M122" s="3">
        <f t="shared" si="28"/>
        <v>1.8049998907372355</v>
      </c>
    </row>
    <row r="123" spans="1:13" x14ac:dyDescent="0.25">
      <c r="A123" t="s">
        <v>261</v>
      </c>
      <c r="B123">
        <v>2</v>
      </c>
      <c r="C123" t="s">
        <v>13</v>
      </c>
      <c r="D123" t="s">
        <v>573</v>
      </c>
      <c r="E123" t="s">
        <v>574</v>
      </c>
      <c r="F123" s="1">
        <v>1.6203703703703704E-5</v>
      </c>
      <c r="G123" t="s">
        <v>16</v>
      </c>
      <c r="H123">
        <v>3</v>
      </c>
      <c r="I123">
        <v>91</v>
      </c>
      <c r="J123">
        <v>94</v>
      </c>
      <c r="L123" t="s">
        <v>17</v>
      </c>
      <c r="M123" s="3">
        <f t="shared" si="28"/>
        <v>1.4439999125897884</v>
      </c>
    </row>
    <row r="124" spans="1:13" x14ac:dyDescent="0.25">
      <c r="A124" t="s">
        <v>261</v>
      </c>
      <c r="B124">
        <v>3</v>
      </c>
      <c r="C124" t="s">
        <v>13</v>
      </c>
      <c r="D124" t="s">
        <v>575</v>
      </c>
      <c r="E124" t="s">
        <v>576</v>
      </c>
      <c r="F124" s="1">
        <v>1.7361111111111111E-5</v>
      </c>
      <c r="G124" t="s">
        <v>16</v>
      </c>
      <c r="H124">
        <v>3</v>
      </c>
      <c r="I124">
        <v>91</v>
      </c>
      <c r="J124">
        <v>94</v>
      </c>
      <c r="L124" t="s">
        <v>17</v>
      </c>
      <c r="M124" s="3">
        <f t="shared" si="28"/>
        <v>1.5439999988302588</v>
      </c>
    </row>
    <row r="125" spans="1:13" x14ac:dyDescent="0.25">
      <c r="A125" t="s">
        <v>261</v>
      </c>
      <c r="B125">
        <v>4</v>
      </c>
      <c r="C125" t="s">
        <v>13</v>
      </c>
      <c r="D125" t="s">
        <v>577</v>
      </c>
      <c r="E125" t="s">
        <v>578</v>
      </c>
      <c r="F125" s="1">
        <v>1.6203703703703704E-5</v>
      </c>
      <c r="G125" t="s">
        <v>16</v>
      </c>
      <c r="H125">
        <v>3</v>
      </c>
      <c r="I125">
        <v>91</v>
      </c>
      <c r="J125">
        <v>94</v>
      </c>
      <c r="L125" t="s">
        <v>17</v>
      </c>
      <c r="M125" s="3">
        <f t="shared" si="28"/>
        <v>1.4410000294446945</v>
      </c>
    </row>
    <row r="126" spans="1:13" x14ac:dyDescent="0.25">
      <c r="A126" t="s">
        <v>261</v>
      </c>
      <c r="B126">
        <v>5</v>
      </c>
      <c r="C126" t="s">
        <v>13</v>
      </c>
      <c r="D126" t="s">
        <v>579</v>
      </c>
      <c r="E126" t="s">
        <v>580</v>
      </c>
      <c r="F126" s="1">
        <v>2.0833333333333333E-5</v>
      </c>
      <c r="G126" t="s">
        <v>16</v>
      </c>
      <c r="H126">
        <v>3</v>
      </c>
      <c r="I126">
        <v>91</v>
      </c>
      <c r="J126">
        <v>94</v>
      </c>
      <c r="L126" t="s">
        <v>17</v>
      </c>
      <c r="M126" s="3">
        <f t="shared" si="28"/>
        <v>1.7960002413019538</v>
      </c>
    </row>
    <row r="127" spans="1:13" x14ac:dyDescent="0.25">
      <c r="A127" t="s">
        <v>261</v>
      </c>
      <c r="B127">
        <v>6</v>
      </c>
      <c r="C127" t="s">
        <v>13</v>
      </c>
      <c r="D127" t="s">
        <v>581</v>
      </c>
      <c r="E127" t="s">
        <v>582</v>
      </c>
      <c r="F127" s="1">
        <v>1.6203703703703704E-5</v>
      </c>
      <c r="G127" t="s">
        <v>16</v>
      </c>
      <c r="H127">
        <v>3</v>
      </c>
      <c r="I127">
        <v>91</v>
      </c>
      <c r="J127">
        <v>94</v>
      </c>
      <c r="L127" t="s">
        <v>17</v>
      </c>
      <c r="M127" s="3">
        <f t="shared" si="28"/>
        <v>1.4159995364025235</v>
      </c>
    </row>
    <row r="128" spans="1:13" x14ac:dyDescent="0.25">
      <c r="A128" t="s">
        <v>261</v>
      </c>
      <c r="B128">
        <v>7</v>
      </c>
      <c r="C128" t="s">
        <v>13</v>
      </c>
      <c r="D128" t="s">
        <v>583</v>
      </c>
      <c r="E128" t="s">
        <v>584</v>
      </c>
      <c r="F128" s="1">
        <v>2.0833333333333333E-5</v>
      </c>
      <c r="G128" t="s">
        <v>16</v>
      </c>
      <c r="H128">
        <v>3</v>
      </c>
      <c r="I128">
        <v>91</v>
      </c>
      <c r="J128">
        <v>94</v>
      </c>
      <c r="L128" t="s">
        <v>17</v>
      </c>
      <c r="M128" s="3">
        <f t="shared" si="28"/>
        <v>1.791000016964972</v>
      </c>
    </row>
    <row r="129" spans="1:13" x14ac:dyDescent="0.25">
      <c r="A129" t="s">
        <v>261</v>
      </c>
      <c r="B129">
        <v>8</v>
      </c>
      <c r="C129" t="s">
        <v>13</v>
      </c>
      <c r="D129" t="s">
        <v>585</v>
      </c>
      <c r="E129" t="s">
        <v>586</v>
      </c>
      <c r="F129" s="1">
        <v>1.7361111111111111E-5</v>
      </c>
      <c r="G129" t="s">
        <v>16</v>
      </c>
      <c r="H129">
        <v>3</v>
      </c>
      <c r="I129">
        <v>91</v>
      </c>
      <c r="J129">
        <v>94</v>
      </c>
      <c r="L129" t="s">
        <v>17</v>
      </c>
      <c r="M129" s="3">
        <f t="shared" si="28"/>
        <v>1.4710001181811094</v>
      </c>
    </row>
    <row r="130" spans="1:13" x14ac:dyDescent="0.25">
      <c r="A130" t="s">
        <v>261</v>
      </c>
      <c r="B130">
        <v>9</v>
      </c>
      <c r="C130" t="s">
        <v>13</v>
      </c>
      <c r="D130" t="s">
        <v>587</v>
      </c>
      <c r="E130" t="s">
        <v>588</v>
      </c>
      <c r="F130" s="1">
        <v>1.7361111111111111E-5</v>
      </c>
      <c r="G130" t="s">
        <v>16</v>
      </c>
      <c r="H130">
        <v>3</v>
      </c>
      <c r="I130">
        <v>91</v>
      </c>
      <c r="J130">
        <v>94</v>
      </c>
      <c r="L130" t="s">
        <v>17</v>
      </c>
      <c r="M130" s="3">
        <f t="shared" si="28"/>
        <v>1.4680002350360155</v>
      </c>
    </row>
    <row r="131" spans="1:13" x14ac:dyDescent="0.25">
      <c r="A131" t="s">
        <v>261</v>
      </c>
      <c r="B131">
        <v>10</v>
      </c>
      <c r="C131" t="s">
        <v>13</v>
      </c>
      <c r="D131" t="s">
        <v>589</v>
      </c>
      <c r="E131" t="s">
        <v>590</v>
      </c>
      <c r="F131" s="1">
        <v>1.7361111111111111E-5</v>
      </c>
      <c r="G131" t="s">
        <v>16</v>
      </c>
      <c r="H131">
        <v>3</v>
      </c>
      <c r="I131">
        <v>91</v>
      </c>
      <c r="J131">
        <v>94</v>
      </c>
      <c r="L131" t="s">
        <v>17</v>
      </c>
      <c r="M131" s="3">
        <f t="shared" ref="M131:M194" si="29">(SUBSTITUTE(LEFT(E131,23),"T"," ")-SUBSTITUTE(LEFT(D131,23),"T"," "))*86400</f>
        <v>1.4980003237724304</v>
      </c>
    </row>
    <row r="132" spans="1:13" x14ac:dyDescent="0.25">
      <c r="A132" t="s">
        <v>261</v>
      </c>
      <c r="B132">
        <v>1</v>
      </c>
      <c r="C132" t="s">
        <v>36</v>
      </c>
      <c r="D132" t="s">
        <v>591</v>
      </c>
      <c r="E132" t="s">
        <v>592</v>
      </c>
      <c r="F132" s="1">
        <v>1.6203703703703704E-5</v>
      </c>
      <c r="G132" t="s">
        <v>16</v>
      </c>
      <c r="H132">
        <v>3</v>
      </c>
      <c r="I132">
        <v>164</v>
      </c>
      <c r="J132">
        <v>167</v>
      </c>
      <c r="L132" t="s">
        <v>17</v>
      </c>
      <c r="M132" s="3">
        <f t="shared" si="29"/>
        <v>1.425000443123281</v>
      </c>
    </row>
    <row r="133" spans="1:13" x14ac:dyDescent="0.25">
      <c r="A133" t="s">
        <v>261</v>
      </c>
      <c r="B133">
        <v>2</v>
      </c>
      <c r="C133" t="s">
        <v>36</v>
      </c>
      <c r="D133" t="s">
        <v>593</v>
      </c>
      <c r="E133" t="s">
        <v>594</v>
      </c>
      <c r="F133" s="1">
        <v>1.6203703703703704E-5</v>
      </c>
      <c r="G133" t="s">
        <v>16</v>
      </c>
      <c r="H133">
        <v>3</v>
      </c>
      <c r="I133">
        <v>164</v>
      </c>
      <c r="J133">
        <v>167</v>
      </c>
      <c r="L133" t="s">
        <v>17</v>
      </c>
      <c r="M133" s="3">
        <f t="shared" si="29"/>
        <v>1.3959998963400722</v>
      </c>
    </row>
    <row r="134" spans="1:13" x14ac:dyDescent="0.25">
      <c r="A134" t="s">
        <v>261</v>
      </c>
      <c r="B134">
        <v>3</v>
      </c>
      <c r="C134" t="s">
        <v>36</v>
      </c>
      <c r="D134" t="s">
        <v>595</v>
      </c>
      <c r="E134" t="s">
        <v>596</v>
      </c>
      <c r="F134" s="1">
        <v>1.6203703703703704E-5</v>
      </c>
      <c r="G134" t="s">
        <v>16</v>
      </c>
      <c r="H134">
        <v>3</v>
      </c>
      <c r="I134">
        <v>164</v>
      </c>
      <c r="J134">
        <v>167</v>
      </c>
      <c r="L134" t="s">
        <v>17</v>
      </c>
      <c r="M134" s="3">
        <f t="shared" si="29"/>
        <v>1.4399998588487506</v>
      </c>
    </row>
    <row r="135" spans="1:13" x14ac:dyDescent="0.25">
      <c r="A135" t="s">
        <v>261</v>
      </c>
      <c r="B135">
        <v>4</v>
      </c>
      <c r="C135" t="s">
        <v>36</v>
      </c>
      <c r="D135" t="s">
        <v>597</v>
      </c>
      <c r="E135" t="s">
        <v>598</v>
      </c>
      <c r="F135" s="1">
        <v>1.6203703703703704E-5</v>
      </c>
      <c r="G135" t="s">
        <v>16</v>
      </c>
      <c r="H135">
        <v>3</v>
      </c>
      <c r="I135">
        <v>164</v>
      </c>
      <c r="J135">
        <v>167</v>
      </c>
      <c r="L135" t="s">
        <v>17</v>
      </c>
      <c r="M135" s="3">
        <f t="shared" si="29"/>
        <v>1.4209997607395053</v>
      </c>
    </row>
    <row r="136" spans="1:13" x14ac:dyDescent="0.25">
      <c r="A136" t="s">
        <v>261</v>
      </c>
      <c r="B136">
        <v>5</v>
      </c>
      <c r="C136" t="s">
        <v>36</v>
      </c>
      <c r="D136" t="s">
        <v>599</v>
      </c>
      <c r="E136" t="s">
        <v>600</v>
      </c>
      <c r="F136" s="1">
        <v>2.0833333333333333E-5</v>
      </c>
      <c r="G136" t="s">
        <v>16</v>
      </c>
      <c r="H136">
        <v>3</v>
      </c>
      <c r="I136">
        <v>164</v>
      </c>
      <c r="J136">
        <v>167</v>
      </c>
      <c r="L136" t="s">
        <v>17</v>
      </c>
      <c r="M136" s="3">
        <f t="shared" si="29"/>
        <v>1.7730000894516706</v>
      </c>
    </row>
    <row r="137" spans="1:13" x14ac:dyDescent="0.25">
      <c r="A137" t="s">
        <v>261</v>
      </c>
      <c r="B137">
        <v>6</v>
      </c>
      <c r="C137" t="s">
        <v>36</v>
      </c>
      <c r="D137" t="s">
        <v>601</v>
      </c>
      <c r="E137" t="s">
        <v>602</v>
      </c>
      <c r="F137" s="1">
        <v>2.199074074074074E-5</v>
      </c>
      <c r="G137" t="s">
        <v>16</v>
      </c>
      <c r="H137">
        <v>3</v>
      </c>
      <c r="I137">
        <v>164</v>
      </c>
      <c r="J137">
        <v>167</v>
      </c>
      <c r="L137" t="s">
        <v>17</v>
      </c>
      <c r="M137" s="3">
        <f t="shared" si="29"/>
        <v>1.8700002925470471</v>
      </c>
    </row>
    <row r="138" spans="1:13" x14ac:dyDescent="0.25">
      <c r="A138" t="s">
        <v>261</v>
      </c>
      <c r="B138">
        <v>7</v>
      </c>
      <c r="C138" t="s">
        <v>36</v>
      </c>
      <c r="D138" t="s">
        <v>603</v>
      </c>
      <c r="E138" t="s">
        <v>604</v>
      </c>
      <c r="F138" s="1">
        <v>2.4305555555555558E-5</v>
      </c>
      <c r="G138" t="s">
        <v>16</v>
      </c>
      <c r="H138">
        <v>3</v>
      </c>
      <c r="I138">
        <v>164</v>
      </c>
      <c r="J138">
        <v>167</v>
      </c>
      <c r="L138" t="s">
        <v>17</v>
      </c>
      <c r="M138" s="3">
        <f t="shared" si="29"/>
        <v>2.1099997451528907</v>
      </c>
    </row>
    <row r="139" spans="1:13" x14ac:dyDescent="0.25">
      <c r="A139" t="s">
        <v>261</v>
      </c>
      <c r="B139">
        <v>8</v>
      </c>
      <c r="C139" t="s">
        <v>36</v>
      </c>
      <c r="D139" t="s">
        <v>605</v>
      </c>
      <c r="E139" t="s">
        <v>606</v>
      </c>
      <c r="F139" s="1">
        <v>1.6203703703703704E-5</v>
      </c>
      <c r="G139" t="s">
        <v>16</v>
      </c>
      <c r="H139">
        <v>3</v>
      </c>
      <c r="I139">
        <v>164</v>
      </c>
      <c r="J139">
        <v>167</v>
      </c>
      <c r="L139" t="s">
        <v>17</v>
      </c>
      <c r="M139" s="3">
        <f t="shared" si="29"/>
        <v>1.3600000413134694</v>
      </c>
    </row>
    <row r="140" spans="1:13" x14ac:dyDescent="0.25">
      <c r="A140" t="s">
        <v>261</v>
      </c>
      <c r="B140">
        <v>9</v>
      </c>
      <c r="C140" t="s">
        <v>36</v>
      </c>
      <c r="D140" t="s">
        <v>607</v>
      </c>
      <c r="E140" t="s">
        <v>608</v>
      </c>
      <c r="F140" s="1">
        <v>1.5046296296296297E-5</v>
      </c>
      <c r="G140" t="s">
        <v>16</v>
      </c>
      <c r="H140">
        <v>3</v>
      </c>
      <c r="I140">
        <v>164</v>
      </c>
      <c r="J140">
        <v>167</v>
      </c>
      <c r="L140" t="s">
        <v>17</v>
      </c>
      <c r="M140" s="3">
        <f t="shared" si="29"/>
        <v>1.2830001069232821</v>
      </c>
    </row>
    <row r="141" spans="1:13" x14ac:dyDescent="0.25">
      <c r="A141" t="s">
        <v>261</v>
      </c>
      <c r="B141">
        <v>10</v>
      </c>
      <c r="C141" t="s">
        <v>36</v>
      </c>
      <c r="D141" t="s">
        <v>609</v>
      </c>
      <c r="E141" t="s">
        <v>610</v>
      </c>
      <c r="F141" s="1">
        <v>1.3888888888888888E-5</v>
      </c>
      <c r="G141" t="s">
        <v>16</v>
      </c>
      <c r="H141">
        <v>3</v>
      </c>
      <c r="I141">
        <v>164</v>
      </c>
      <c r="J141">
        <v>167</v>
      </c>
      <c r="L141" t="s">
        <v>17</v>
      </c>
      <c r="M141" s="3">
        <f t="shared" si="29"/>
        <v>1.1879996163770556</v>
      </c>
    </row>
    <row r="142" spans="1:13" x14ac:dyDescent="0.25">
      <c r="A142" t="s">
        <v>261</v>
      </c>
      <c r="B142">
        <v>1</v>
      </c>
      <c r="C142" t="s">
        <v>57</v>
      </c>
      <c r="D142" t="s">
        <v>611</v>
      </c>
      <c r="E142" t="s">
        <v>612</v>
      </c>
      <c r="F142" s="1">
        <v>3.2407407407407408E-5</v>
      </c>
      <c r="G142" t="s">
        <v>16</v>
      </c>
      <c r="H142">
        <v>3</v>
      </c>
      <c r="I142">
        <v>125</v>
      </c>
      <c r="J142">
        <v>128</v>
      </c>
      <c r="L142" t="s">
        <v>17</v>
      </c>
      <c r="M142" s="3">
        <f t="shared" si="29"/>
        <v>2.8479999164119363</v>
      </c>
    </row>
    <row r="143" spans="1:13" x14ac:dyDescent="0.25">
      <c r="A143" t="s">
        <v>261</v>
      </c>
      <c r="B143">
        <v>2</v>
      </c>
      <c r="C143" t="s">
        <v>57</v>
      </c>
      <c r="D143" t="s">
        <v>613</v>
      </c>
      <c r="E143" t="s">
        <v>614</v>
      </c>
      <c r="F143" s="1">
        <v>2.0833333333333333E-5</v>
      </c>
      <c r="G143" t="s">
        <v>16</v>
      </c>
      <c r="H143">
        <v>3</v>
      </c>
      <c r="I143">
        <v>125</v>
      </c>
      <c r="J143">
        <v>128</v>
      </c>
      <c r="L143" t="s">
        <v>17</v>
      </c>
      <c r="M143" s="3">
        <f t="shared" si="29"/>
        <v>1.8140001688152552</v>
      </c>
    </row>
    <row r="144" spans="1:13" x14ac:dyDescent="0.25">
      <c r="A144" t="s">
        <v>261</v>
      </c>
      <c r="B144">
        <v>3</v>
      </c>
      <c r="C144" t="s">
        <v>57</v>
      </c>
      <c r="D144" t="s">
        <v>615</v>
      </c>
      <c r="E144" t="s">
        <v>616</v>
      </c>
      <c r="F144" s="1">
        <v>3.7037037037037037E-5</v>
      </c>
      <c r="G144" t="s">
        <v>16</v>
      </c>
      <c r="H144">
        <v>3</v>
      </c>
      <c r="I144">
        <v>125</v>
      </c>
      <c r="J144">
        <v>128</v>
      </c>
      <c r="L144" t="s">
        <v>17</v>
      </c>
      <c r="M144" s="3">
        <f t="shared" si="29"/>
        <v>3.164999932050705</v>
      </c>
    </row>
    <row r="145" spans="1:13" x14ac:dyDescent="0.25">
      <c r="A145" t="s">
        <v>261</v>
      </c>
      <c r="B145">
        <v>4</v>
      </c>
      <c r="C145" t="s">
        <v>57</v>
      </c>
      <c r="D145" t="s">
        <v>617</v>
      </c>
      <c r="E145" t="s">
        <v>618</v>
      </c>
      <c r="F145" s="1">
        <v>4.2824074074074079E-5</v>
      </c>
      <c r="G145" t="s">
        <v>16</v>
      </c>
      <c r="H145">
        <v>3</v>
      </c>
      <c r="I145">
        <v>125</v>
      </c>
      <c r="J145">
        <v>128</v>
      </c>
      <c r="L145" t="s">
        <v>17</v>
      </c>
      <c r="M145" s="3">
        <f t="shared" si="29"/>
        <v>3.697999706491828</v>
      </c>
    </row>
    <row r="146" spans="1:13" x14ac:dyDescent="0.25">
      <c r="A146" t="s">
        <v>261</v>
      </c>
      <c r="B146">
        <v>5</v>
      </c>
      <c r="C146" t="s">
        <v>57</v>
      </c>
      <c r="D146" t="s">
        <v>619</v>
      </c>
      <c r="E146" t="s">
        <v>620</v>
      </c>
      <c r="F146" s="1">
        <v>2.0833333333333333E-5</v>
      </c>
      <c r="G146" t="s">
        <v>16</v>
      </c>
      <c r="H146">
        <v>3</v>
      </c>
      <c r="I146">
        <v>125</v>
      </c>
      <c r="J146">
        <v>128</v>
      </c>
      <c r="L146" t="s">
        <v>17</v>
      </c>
      <c r="M146" s="3">
        <f t="shared" si="29"/>
        <v>1.764999981969595</v>
      </c>
    </row>
    <row r="147" spans="1:13" x14ac:dyDescent="0.25">
      <c r="A147" t="s">
        <v>261</v>
      </c>
      <c r="B147">
        <v>6</v>
      </c>
      <c r="C147" t="s">
        <v>57</v>
      </c>
      <c r="D147" t="s">
        <v>621</v>
      </c>
      <c r="E147" t="s">
        <v>622</v>
      </c>
      <c r="F147" s="1">
        <v>2.199074074074074E-5</v>
      </c>
      <c r="G147" t="s">
        <v>16</v>
      </c>
      <c r="H147">
        <v>3</v>
      </c>
      <c r="I147">
        <v>125</v>
      </c>
      <c r="J147">
        <v>128</v>
      </c>
      <c r="L147" t="s">
        <v>17</v>
      </c>
      <c r="M147" s="3">
        <f t="shared" si="29"/>
        <v>1.8710004631429911</v>
      </c>
    </row>
    <row r="148" spans="1:13" x14ac:dyDescent="0.25">
      <c r="A148" t="s">
        <v>261</v>
      </c>
      <c r="B148">
        <v>7</v>
      </c>
      <c r="C148" t="s">
        <v>57</v>
      </c>
      <c r="D148" t="s">
        <v>623</v>
      </c>
      <c r="E148" t="s">
        <v>624</v>
      </c>
      <c r="F148" s="1">
        <v>1.9675925925925925E-5</v>
      </c>
      <c r="G148" t="s">
        <v>16</v>
      </c>
      <c r="H148">
        <v>3</v>
      </c>
      <c r="I148">
        <v>125</v>
      </c>
      <c r="J148">
        <v>128</v>
      </c>
      <c r="L148" t="s">
        <v>17</v>
      </c>
      <c r="M148" s="3">
        <f t="shared" si="29"/>
        <v>1.7409996595233679</v>
      </c>
    </row>
    <row r="149" spans="1:13" x14ac:dyDescent="0.25">
      <c r="A149" t="s">
        <v>261</v>
      </c>
      <c r="B149">
        <v>8</v>
      </c>
      <c r="C149" t="s">
        <v>57</v>
      </c>
      <c r="D149" t="s">
        <v>625</v>
      </c>
      <c r="E149" t="s">
        <v>626</v>
      </c>
      <c r="F149" s="1">
        <v>1.6203703703703704E-5</v>
      </c>
      <c r="G149" t="s">
        <v>16</v>
      </c>
      <c r="H149">
        <v>3</v>
      </c>
      <c r="I149">
        <v>125</v>
      </c>
      <c r="J149">
        <v>128</v>
      </c>
      <c r="L149" t="s">
        <v>17</v>
      </c>
      <c r="M149" s="3">
        <f t="shared" si="29"/>
        <v>1.4020002912729979</v>
      </c>
    </row>
    <row r="150" spans="1:13" x14ac:dyDescent="0.25">
      <c r="A150" t="s">
        <v>261</v>
      </c>
      <c r="B150">
        <v>9</v>
      </c>
      <c r="C150" t="s">
        <v>57</v>
      </c>
      <c r="D150" t="s">
        <v>627</v>
      </c>
      <c r="E150" t="s">
        <v>628</v>
      </c>
      <c r="F150" s="1">
        <v>1.3888888888888888E-5</v>
      </c>
      <c r="G150" t="s">
        <v>16</v>
      </c>
      <c r="H150">
        <v>3</v>
      </c>
      <c r="I150">
        <v>125</v>
      </c>
      <c r="J150">
        <v>128</v>
      </c>
      <c r="L150" t="s">
        <v>17</v>
      </c>
      <c r="M150" s="3">
        <f t="shared" si="29"/>
        <v>1.1950001819059253</v>
      </c>
    </row>
    <row r="151" spans="1:13" x14ac:dyDescent="0.25">
      <c r="A151" t="s">
        <v>261</v>
      </c>
      <c r="B151">
        <v>10</v>
      </c>
      <c r="C151" t="s">
        <v>57</v>
      </c>
      <c r="D151" t="s">
        <v>629</v>
      </c>
      <c r="E151" t="s">
        <v>630</v>
      </c>
      <c r="F151" s="1">
        <v>2.0833333333333333E-5</v>
      </c>
      <c r="G151" t="s">
        <v>16</v>
      </c>
      <c r="H151">
        <v>3</v>
      </c>
      <c r="I151">
        <v>125</v>
      </c>
      <c r="J151">
        <v>128</v>
      </c>
      <c r="L151" t="s">
        <v>17</v>
      </c>
      <c r="M151" s="3">
        <f t="shared" si="29"/>
        <v>1.8159998813644052</v>
      </c>
    </row>
    <row r="152" spans="1:13" x14ac:dyDescent="0.25">
      <c r="A152" t="s">
        <v>12</v>
      </c>
      <c r="B152">
        <v>1</v>
      </c>
      <c r="C152" t="s">
        <v>13</v>
      </c>
      <c r="D152" t="s">
        <v>14</v>
      </c>
      <c r="E152" t="s">
        <v>15</v>
      </c>
      <c r="F152" s="1">
        <v>1.5046296296296297E-5</v>
      </c>
      <c r="G152" t="s">
        <v>16</v>
      </c>
      <c r="H152">
        <v>5</v>
      </c>
      <c r="I152">
        <v>81</v>
      </c>
      <c r="J152">
        <v>86</v>
      </c>
      <c r="L152" t="s">
        <v>17</v>
      </c>
      <c r="M152" s="3">
        <f t="shared" si="29"/>
        <v>1.2640000088140368</v>
      </c>
    </row>
    <row r="153" spans="1:13" x14ac:dyDescent="0.25">
      <c r="A153" t="s">
        <v>12</v>
      </c>
      <c r="B153">
        <v>2</v>
      </c>
      <c r="C153" t="s">
        <v>13</v>
      </c>
      <c r="D153" t="s">
        <v>18</v>
      </c>
      <c r="E153" t="s">
        <v>19</v>
      </c>
      <c r="F153" s="1">
        <v>1.8518518518518518E-5</v>
      </c>
      <c r="G153" t="s">
        <v>16</v>
      </c>
      <c r="H153">
        <v>5</v>
      </c>
      <c r="I153">
        <v>81</v>
      </c>
      <c r="J153">
        <v>86</v>
      </c>
      <c r="L153" t="s">
        <v>17</v>
      </c>
      <c r="M153" s="3">
        <f t="shared" si="29"/>
        <v>1.0609999531880021</v>
      </c>
    </row>
    <row r="154" spans="1:13" x14ac:dyDescent="0.25">
      <c r="A154" t="s">
        <v>12</v>
      </c>
      <c r="B154">
        <v>3</v>
      </c>
      <c r="C154" t="s">
        <v>13</v>
      </c>
      <c r="D154" t="s">
        <v>20</v>
      </c>
      <c r="E154" t="s">
        <v>21</v>
      </c>
      <c r="F154" s="1">
        <v>1.7361111111111111E-5</v>
      </c>
      <c r="G154" t="s">
        <v>16</v>
      </c>
      <c r="H154">
        <v>5</v>
      </c>
      <c r="I154">
        <v>81</v>
      </c>
      <c r="J154">
        <v>86</v>
      </c>
      <c r="L154" t="s">
        <v>17</v>
      </c>
      <c r="M154" s="3">
        <f t="shared" si="29"/>
        <v>1.0499999625608325</v>
      </c>
    </row>
    <row r="155" spans="1:13" x14ac:dyDescent="0.25">
      <c r="A155" t="s">
        <v>12</v>
      </c>
      <c r="B155">
        <v>4</v>
      </c>
      <c r="C155" t="s">
        <v>13</v>
      </c>
      <c r="D155" t="s">
        <v>22</v>
      </c>
      <c r="E155" t="s">
        <v>23</v>
      </c>
      <c r="F155" s="1">
        <v>1.9675925925925925E-5</v>
      </c>
      <c r="G155" t="s">
        <v>16</v>
      </c>
      <c r="H155">
        <v>5</v>
      </c>
      <c r="I155">
        <v>81</v>
      </c>
      <c r="J155">
        <v>86</v>
      </c>
      <c r="L155" t="s">
        <v>17</v>
      </c>
      <c r="M155" s="3">
        <f t="shared" si="29"/>
        <v>1.0069995420053601</v>
      </c>
    </row>
    <row r="156" spans="1:13" x14ac:dyDescent="0.25">
      <c r="A156" t="s">
        <v>12</v>
      </c>
      <c r="B156">
        <v>5</v>
      </c>
      <c r="C156" t="s">
        <v>13</v>
      </c>
      <c r="D156" t="s">
        <v>24</v>
      </c>
      <c r="E156" t="s">
        <v>25</v>
      </c>
      <c r="F156" s="1">
        <v>1.5046296296296297E-5</v>
      </c>
      <c r="G156" t="s">
        <v>16</v>
      </c>
      <c r="H156">
        <v>5</v>
      </c>
      <c r="I156">
        <v>81</v>
      </c>
      <c r="J156">
        <v>86</v>
      </c>
      <c r="L156" t="s">
        <v>17</v>
      </c>
      <c r="M156" s="3">
        <f t="shared" si="29"/>
        <v>1.0310004930943251</v>
      </c>
    </row>
    <row r="157" spans="1:13" x14ac:dyDescent="0.25">
      <c r="A157" t="s">
        <v>12</v>
      </c>
      <c r="B157">
        <v>6</v>
      </c>
      <c r="C157" t="s">
        <v>13</v>
      </c>
      <c r="D157" t="s">
        <v>26</v>
      </c>
      <c r="E157" t="s">
        <v>27</v>
      </c>
      <c r="F157" s="1">
        <v>1.2731481481481482E-5</v>
      </c>
      <c r="G157" t="s">
        <v>16</v>
      </c>
      <c r="H157">
        <v>5</v>
      </c>
      <c r="I157">
        <v>81</v>
      </c>
      <c r="J157">
        <v>86</v>
      </c>
      <c r="L157" t="s">
        <v>17</v>
      </c>
      <c r="M157" s="3">
        <f t="shared" si="29"/>
        <v>1.0120003949850798</v>
      </c>
    </row>
    <row r="158" spans="1:13" x14ac:dyDescent="0.25">
      <c r="A158" t="s">
        <v>12</v>
      </c>
      <c r="B158">
        <v>7</v>
      </c>
      <c r="C158" t="s">
        <v>13</v>
      </c>
      <c r="D158" t="s">
        <v>28</v>
      </c>
      <c r="E158" t="s">
        <v>29</v>
      </c>
      <c r="F158" s="1">
        <v>1.7361111111111111E-5</v>
      </c>
      <c r="G158" t="s">
        <v>16</v>
      </c>
      <c r="H158">
        <v>5</v>
      </c>
      <c r="I158">
        <v>81</v>
      </c>
      <c r="J158">
        <v>86</v>
      </c>
      <c r="L158" t="s">
        <v>17</v>
      </c>
      <c r="M158" s="3">
        <f t="shared" si="29"/>
        <v>1.0499999625608325</v>
      </c>
    </row>
    <row r="159" spans="1:13" x14ac:dyDescent="0.25">
      <c r="A159" t="s">
        <v>12</v>
      </c>
      <c r="B159">
        <v>8</v>
      </c>
      <c r="C159" t="s">
        <v>13</v>
      </c>
      <c r="D159" t="s">
        <v>30</v>
      </c>
      <c r="E159" t="s">
        <v>31</v>
      </c>
      <c r="F159" s="1">
        <v>1.1574074074074073E-5</v>
      </c>
      <c r="G159" t="s">
        <v>16</v>
      </c>
      <c r="H159">
        <v>5</v>
      </c>
      <c r="I159">
        <v>81</v>
      </c>
      <c r="J159">
        <v>86</v>
      </c>
      <c r="L159" t="s">
        <v>17</v>
      </c>
      <c r="M159" s="3">
        <f t="shared" si="29"/>
        <v>0.99800052121281624</v>
      </c>
    </row>
    <row r="160" spans="1:13" x14ac:dyDescent="0.25">
      <c r="A160" t="s">
        <v>12</v>
      </c>
      <c r="B160">
        <v>9</v>
      </c>
      <c r="C160" t="s">
        <v>13</v>
      </c>
      <c r="D160" t="s">
        <v>32</v>
      </c>
      <c r="E160" t="s">
        <v>33</v>
      </c>
      <c r="F160" s="1">
        <v>1.6203703703703704E-5</v>
      </c>
      <c r="G160" t="s">
        <v>16</v>
      </c>
      <c r="H160">
        <v>5</v>
      </c>
      <c r="I160">
        <v>81</v>
      </c>
      <c r="J160">
        <v>86</v>
      </c>
      <c r="L160" t="s">
        <v>17</v>
      </c>
      <c r="M160" s="3">
        <f t="shared" si="29"/>
        <v>1.0400001425296068</v>
      </c>
    </row>
    <row r="161" spans="1:13" x14ac:dyDescent="0.25">
      <c r="A161" t="s">
        <v>12</v>
      </c>
      <c r="B161">
        <v>10</v>
      </c>
      <c r="C161" t="s">
        <v>13</v>
      </c>
      <c r="D161" t="s">
        <v>34</v>
      </c>
      <c r="E161" t="s">
        <v>35</v>
      </c>
      <c r="F161" s="1">
        <v>1.7361111111111111E-5</v>
      </c>
      <c r="G161" t="s">
        <v>16</v>
      </c>
      <c r="H161">
        <v>5</v>
      </c>
      <c r="I161">
        <v>81</v>
      </c>
      <c r="J161">
        <v>86</v>
      </c>
      <c r="L161" t="s">
        <v>17</v>
      </c>
      <c r="M161" s="3">
        <f t="shared" si="29"/>
        <v>1.0540000163018703</v>
      </c>
    </row>
    <row r="162" spans="1:13" x14ac:dyDescent="0.25">
      <c r="A162" t="s">
        <v>12</v>
      </c>
      <c r="B162">
        <v>1</v>
      </c>
      <c r="C162" t="s">
        <v>36</v>
      </c>
      <c r="D162" t="s">
        <v>37</v>
      </c>
      <c r="E162" t="s">
        <v>38</v>
      </c>
      <c r="F162" s="1">
        <v>1.5046296296296297E-5</v>
      </c>
      <c r="G162" t="s">
        <v>16</v>
      </c>
      <c r="H162">
        <v>5</v>
      </c>
      <c r="I162">
        <v>173</v>
      </c>
      <c r="J162">
        <v>178</v>
      </c>
      <c r="L162" t="s">
        <v>17</v>
      </c>
      <c r="M162" s="3">
        <f t="shared" si="29"/>
        <v>1.3239995576441288</v>
      </c>
    </row>
    <row r="163" spans="1:13" x14ac:dyDescent="0.25">
      <c r="A163" t="s">
        <v>12</v>
      </c>
      <c r="B163">
        <v>2</v>
      </c>
      <c r="C163" t="s">
        <v>36</v>
      </c>
      <c r="D163" t="s">
        <v>39</v>
      </c>
      <c r="E163" t="s">
        <v>40</v>
      </c>
      <c r="F163" s="1">
        <v>1.2731481481481482E-5</v>
      </c>
      <c r="G163" t="s">
        <v>16</v>
      </c>
      <c r="H163">
        <v>5</v>
      </c>
      <c r="I163">
        <v>173</v>
      </c>
      <c r="J163">
        <v>178</v>
      </c>
      <c r="L163" t="s">
        <v>17</v>
      </c>
      <c r="M163" s="3">
        <f t="shared" si="29"/>
        <v>1.121999672614038</v>
      </c>
    </row>
    <row r="164" spans="1:13" x14ac:dyDescent="0.25">
      <c r="A164" t="s">
        <v>12</v>
      </c>
      <c r="B164">
        <v>3</v>
      </c>
      <c r="C164" t="s">
        <v>36</v>
      </c>
      <c r="D164" t="s">
        <v>41</v>
      </c>
      <c r="E164" t="s">
        <v>42</v>
      </c>
      <c r="F164" s="1">
        <v>2.3148148148148147E-5</v>
      </c>
      <c r="G164" t="s">
        <v>16</v>
      </c>
      <c r="H164">
        <v>5</v>
      </c>
      <c r="I164">
        <v>173</v>
      </c>
      <c r="J164">
        <v>178</v>
      </c>
      <c r="L164" t="s">
        <v>17</v>
      </c>
      <c r="M164" s="3">
        <f t="shared" si="29"/>
        <v>1.0989995207637548</v>
      </c>
    </row>
    <row r="165" spans="1:13" x14ac:dyDescent="0.25">
      <c r="A165" t="s">
        <v>12</v>
      </c>
      <c r="B165">
        <v>4</v>
      </c>
      <c r="C165" t="s">
        <v>36</v>
      </c>
      <c r="D165" t="s">
        <v>43</v>
      </c>
      <c r="E165" t="s">
        <v>44</v>
      </c>
      <c r="F165" s="1">
        <v>1.2731481481481482E-5</v>
      </c>
      <c r="G165" t="s">
        <v>16</v>
      </c>
      <c r="H165">
        <v>5</v>
      </c>
      <c r="I165">
        <v>173</v>
      </c>
      <c r="J165">
        <v>178</v>
      </c>
      <c r="L165" t="s">
        <v>17</v>
      </c>
      <c r="M165" s="3">
        <f t="shared" si="29"/>
        <v>1.1250001844018698</v>
      </c>
    </row>
    <row r="166" spans="1:13" x14ac:dyDescent="0.25">
      <c r="A166" t="s">
        <v>12</v>
      </c>
      <c r="B166">
        <v>5</v>
      </c>
      <c r="C166" t="s">
        <v>36</v>
      </c>
      <c r="D166" t="s">
        <v>45</v>
      </c>
      <c r="E166" t="s">
        <v>46</v>
      </c>
      <c r="F166" s="1">
        <v>2.199074074074074E-5</v>
      </c>
      <c r="G166" t="s">
        <v>16</v>
      </c>
      <c r="H166">
        <v>5</v>
      </c>
      <c r="I166">
        <v>173</v>
      </c>
      <c r="J166">
        <v>178</v>
      </c>
      <c r="L166" t="s">
        <v>17</v>
      </c>
      <c r="M166" s="3">
        <f t="shared" si="29"/>
        <v>1.092999754473567</v>
      </c>
    </row>
    <row r="167" spans="1:13" x14ac:dyDescent="0.25">
      <c r="A167" t="s">
        <v>12</v>
      </c>
      <c r="B167">
        <v>6</v>
      </c>
      <c r="C167" t="s">
        <v>36</v>
      </c>
      <c r="D167" t="s">
        <v>47</v>
      </c>
      <c r="E167" t="s">
        <v>48</v>
      </c>
      <c r="F167" s="1">
        <v>1.5046296296296297E-5</v>
      </c>
      <c r="G167" t="s">
        <v>16</v>
      </c>
      <c r="H167">
        <v>5</v>
      </c>
      <c r="I167">
        <v>173</v>
      </c>
      <c r="J167">
        <v>178</v>
      </c>
      <c r="L167" t="s">
        <v>17</v>
      </c>
      <c r="M167" s="3">
        <f t="shared" si="29"/>
        <v>1.2690002331510186</v>
      </c>
    </row>
    <row r="168" spans="1:13" x14ac:dyDescent="0.25">
      <c r="A168" t="s">
        <v>12</v>
      </c>
      <c r="B168">
        <v>7</v>
      </c>
      <c r="C168" t="s">
        <v>36</v>
      </c>
      <c r="D168" t="s">
        <v>49</v>
      </c>
      <c r="E168" t="s">
        <v>50</v>
      </c>
      <c r="F168" s="1">
        <v>1.8518518518518518E-5</v>
      </c>
      <c r="G168" t="s">
        <v>16</v>
      </c>
      <c r="H168">
        <v>5</v>
      </c>
      <c r="I168">
        <v>173</v>
      </c>
      <c r="J168">
        <v>178</v>
      </c>
      <c r="L168" t="s">
        <v>17</v>
      </c>
      <c r="M168" s="3">
        <f t="shared" si="29"/>
        <v>1.0619994951412082</v>
      </c>
    </row>
    <row r="169" spans="1:13" x14ac:dyDescent="0.25">
      <c r="A169" t="s">
        <v>12</v>
      </c>
      <c r="B169">
        <v>8</v>
      </c>
      <c r="C169" t="s">
        <v>36</v>
      </c>
      <c r="D169" t="s">
        <v>51</v>
      </c>
      <c r="E169" t="s">
        <v>52</v>
      </c>
      <c r="F169" s="1">
        <v>1.9675925925925925E-5</v>
      </c>
      <c r="G169" t="s">
        <v>16</v>
      </c>
      <c r="H169">
        <v>5</v>
      </c>
      <c r="I169">
        <v>173</v>
      </c>
      <c r="J169">
        <v>178</v>
      </c>
      <c r="L169" t="s">
        <v>17</v>
      </c>
      <c r="M169" s="3">
        <f t="shared" si="29"/>
        <v>1.06500000692904</v>
      </c>
    </row>
    <row r="170" spans="1:13" x14ac:dyDescent="0.25">
      <c r="A170" t="s">
        <v>12</v>
      </c>
      <c r="B170">
        <v>9</v>
      </c>
      <c r="C170" t="s">
        <v>36</v>
      </c>
      <c r="D170" t="s">
        <v>53</v>
      </c>
      <c r="E170" t="s">
        <v>54</v>
      </c>
      <c r="F170" s="1">
        <v>1.8518518518518518E-5</v>
      </c>
      <c r="G170" t="s">
        <v>16</v>
      </c>
      <c r="H170">
        <v>5</v>
      </c>
      <c r="I170">
        <v>173</v>
      </c>
      <c r="J170">
        <v>178</v>
      </c>
      <c r="L170" t="s">
        <v>17</v>
      </c>
      <c r="M170" s="3">
        <f t="shared" si="29"/>
        <v>1.0609999531880021</v>
      </c>
    </row>
    <row r="171" spans="1:13" x14ac:dyDescent="0.25">
      <c r="A171" t="s">
        <v>12</v>
      </c>
      <c r="B171">
        <v>10</v>
      </c>
      <c r="C171" t="s">
        <v>36</v>
      </c>
      <c r="D171" t="s">
        <v>55</v>
      </c>
      <c r="E171" t="s">
        <v>56</v>
      </c>
      <c r="F171" s="1">
        <v>1.5046296296296297E-5</v>
      </c>
      <c r="G171" t="s">
        <v>16</v>
      </c>
      <c r="H171">
        <v>5</v>
      </c>
      <c r="I171">
        <v>173</v>
      </c>
      <c r="J171">
        <v>178</v>
      </c>
      <c r="L171" t="s">
        <v>17</v>
      </c>
      <c r="M171" s="3">
        <f t="shared" si="29"/>
        <v>1.2540001887828112</v>
      </c>
    </row>
    <row r="172" spans="1:13" x14ac:dyDescent="0.25">
      <c r="A172" t="s">
        <v>12</v>
      </c>
      <c r="B172">
        <v>1</v>
      </c>
      <c r="C172" t="s">
        <v>57</v>
      </c>
      <c r="D172" t="s">
        <v>58</v>
      </c>
      <c r="E172" t="s">
        <v>59</v>
      </c>
      <c r="F172" s="1">
        <v>1.2731481481481482E-5</v>
      </c>
      <c r="G172" t="s">
        <v>16</v>
      </c>
      <c r="H172">
        <v>5</v>
      </c>
      <c r="I172">
        <v>108</v>
      </c>
      <c r="J172">
        <v>113</v>
      </c>
      <c r="L172" t="s">
        <v>17</v>
      </c>
      <c r="M172" s="3">
        <f t="shared" si="29"/>
        <v>1.1210001306608319</v>
      </c>
    </row>
    <row r="173" spans="1:13" x14ac:dyDescent="0.25">
      <c r="A173" t="s">
        <v>12</v>
      </c>
      <c r="B173">
        <v>2</v>
      </c>
      <c r="C173" t="s">
        <v>57</v>
      </c>
      <c r="D173" t="s">
        <v>60</v>
      </c>
      <c r="E173" t="s">
        <v>61</v>
      </c>
      <c r="F173" s="1">
        <v>1.2731481481481482E-5</v>
      </c>
      <c r="G173" t="s">
        <v>16</v>
      </c>
      <c r="H173">
        <v>5</v>
      </c>
      <c r="I173">
        <v>108</v>
      </c>
      <c r="J173">
        <v>113</v>
      </c>
      <c r="L173" t="s">
        <v>17</v>
      </c>
      <c r="M173" s="3">
        <f t="shared" si="29"/>
        <v>1.1309999506920576</v>
      </c>
    </row>
    <row r="174" spans="1:13" x14ac:dyDescent="0.25">
      <c r="A174" t="s">
        <v>12</v>
      </c>
      <c r="B174">
        <v>3</v>
      </c>
      <c r="C174" t="s">
        <v>57</v>
      </c>
      <c r="D174" t="s">
        <v>62</v>
      </c>
      <c r="E174" t="s">
        <v>63</v>
      </c>
      <c r="F174" s="1">
        <v>1.6203703703703704E-5</v>
      </c>
      <c r="G174" t="s">
        <v>16</v>
      </c>
      <c r="H174">
        <v>5</v>
      </c>
      <c r="I174">
        <v>108</v>
      </c>
      <c r="J174">
        <v>113</v>
      </c>
      <c r="L174" t="s">
        <v>17</v>
      </c>
      <c r="M174" s="3">
        <f t="shared" si="29"/>
        <v>1.0370002593845129</v>
      </c>
    </row>
    <row r="175" spans="1:13" x14ac:dyDescent="0.25">
      <c r="A175" t="s">
        <v>12</v>
      </c>
      <c r="B175">
        <v>4</v>
      </c>
      <c r="C175" t="s">
        <v>57</v>
      </c>
      <c r="D175" t="s">
        <v>64</v>
      </c>
      <c r="E175" t="s">
        <v>65</v>
      </c>
      <c r="F175" s="1">
        <v>1.7361111111111111E-5</v>
      </c>
      <c r="G175" t="s">
        <v>16</v>
      </c>
      <c r="H175">
        <v>5</v>
      </c>
      <c r="I175">
        <v>108</v>
      </c>
      <c r="J175">
        <v>113</v>
      </c>
      <c r="L175" t="s">
        <v>17</v>
      </c>
      <c r="M175" s="3">
        <f t="shared" si="29"/>
        <v>1.5200003050267696</v>
      </c>
    </row>
    <row r="176" spans="1:13" x14ac:dyDescent="0.25">
      <c r="A176" t="s">
        <v>12</v>
      </c>
      <c r="B176">
        <v>5</v>
      </c>
      <c r="C176" t="s">
        <v>57</v>
      </c>
      <c r="D176" t="s">
        <v>66</v>
      </c>
      <c r="E176" t="s">
        <v>67</v>
      </c>
      <c r="F176" s="1">
        <v>2.0833333333333333E-5</v>
      </c>
      <c r="G176" t="s">
        <v>16</v>
      </c>
      <c r="H176">
        <v>5</v>
      </c>
      <c r="I176">
        <v>108</v>
      </c>
      <c r="J176">
        <v>113</v>
      </c>
      <c r="L176" t="s">
        <v>17</v>
      </c>
      <c r="M176" s="3">
        <f t="shared" si="29"/>
        <v>1.0809995932504535</v>
      </c>
    </row>
    <row r="177" spans="1:13" x14ac:dyDescent="0.25">
      <c r="A177" t="s">
        <v>12</v>
      </c>
      <c r="B177">
        <v>6</v>
      </c>
      <c r="C177" t="s">
        <v>57</v>
      </c>
      <c r="D177" t="s">
        <v>68</v>
      </c>
      <c r="E177" t="s">
        <v>69</v>
      </c>
      <c r="F177" s="1">
        <v>1.7361111111111111E-5</v>
      </c>
      <c r="G177" t="s">
        <v>16</v>
      </c>
      <c r="H177">
        <v>5</v>
      </c>
      <c r="I177">
        <v>108</v>
      </c>
      <c r="J177">
        <v>113</v>
      </c>
      <c r="L177" t="s">
        <v>17</v>
      </c>
      <c r="M177" s="3">
        <f t="shared" si="29"/>
        <v>1.0480002500116825</v>
      </c>
    </row>
    <row r="178" spans="1:13" x14ac:dyDescent="0.25">
      <c r="A178" t="s">
        <v>12</v>
      </c>
      <c r="B178">
        <v>7</v>
      </c>
      <c r="C178" t="s">
        <v>57</v>
      </c>
      <c r="D178" t="s">
        <v>70</v>
      </c>
      <c r="E178" t="s">
        <v>71</v>
      </c>
      <c r="F178" s="1">
        <v>1.2731481481481482E-5</v>
      </c>
      <c r="G178" t="s">
        <v>16</v>
      </c>
      <c r="H178">
        <v>5</v>
      </c>
      <c r="I178">
        <v>108</v>
      </c>
      <c r="J178">
        <v>113</v>
      </c>
      <c r="L178" t="s">
        <v>17</v>
      </c>
      <c r="M178" s="3">
        <f t="shared" si="29"/>
        <v>1.1200005887076259</v>
      </c>
    </row>
    <row r="179" spans="1:13" x14ac:dyDescent="0.25">
      <c r="A179" t="s">
        <v>12</v>
      </c>
      <c r="B179">
        <v>8</v>
      </c>
      <c r="C179" t="s">
        <v>57</v>
      </c>
      <c r="D179" t="s">
        <v>72</v>
      </c>
      <c r="E179" t="s">
        <v>73</v>
      </c>
      <c r="F179" s="1">
        <v>1.9675925925925925E-5</v>
      </c>
      <c r="G179" t="s">
        <v>16</v>
      </c>
      <c r="H179">
        <v>5</v>
      </c>
      <c r="I179">
        <v>108</v>
      </c>
      <c r="J179">
        <v>113</v>
      </c>
      <c r="L179" t="s">
        <v>17</v>
      </c>
      <c r="M179" s="3">
        <f t="shared" si="29"/>
        <v>1.0729994857683778</v>
      </c>
    </row>
    <row r="180" spans="1:13" x14ac:dyDescent="0.25">
      <c r="A180" t="s">
        <v>12</v>
      </c>
      <c r="B180">
        <v>9</v>
      </c>
      <c r="C180" t="s">
        <v>57</v>
      </c>
      <c r="D180" t="s">
        <v>74</v>
      </c>
      <c r="E180" t="s">
        <v>75</v>
      </c>
      <c r="F180" s="1">
        <v>1.6203703703703704E-5</v>
      </c>
      <c r="G180" t="s">
        <v>16</v>
      </c>
      <c r="H180">
        <v>5</v>
      </c>
      <c r="I180">
        <v>108</v>
      </c>
      <c r="J180">
        <v>113</v>
      </c>
      <c r="L180" t="s">
        <v>17</v>
      </c>
      <c r="M180" s="3">
        <f t="shared" si="29"/>
        <v>1.0430000256747007</v>
      </c>
    </row>
    <row r="181" spans="1:13" x14ac:dyDescent="0.25">
      <c r="A181" t="s">
        <v>12</v>
      </c>
      <c r="B181">
        <v>10</v>
      </c>
      <c r="C181" t="s">
        <v>57</v>
      </c>
      <c r="D181" t="s">
        <v>76</v>
      </c>
      <c r="E181" t="s">
        <v>77</v>
      </c>
      <c r="F181" s="1">
        <v>1.6203703703703704E-5</v>
      </c>
      <c r="G181" t="s">
        <v>16</v>
      </c>
      <c r="H181">
        <v>5</v>
      </c>
      <c r="I181">
        <v>108</v>
      </c>
      <c r="J181">
        <v>113</v>
      </c>
      <c r="L181" t="s">
        <v>17</v>
      </c>
      <c r="M181" s="3">
        <f t="shared" si="29"/>
        <v>1.0370002593845129</v>
      </c>
    </row>
    <row r="182" spans="1:13" x14ac:dyDescent="0.25">
      <c r="A182" t="s">
        <v>78</v>
      </c>
      <c r="B182">
        <v>1</v>
      </c>
      <c r="C182" t="s">
        <v>13</v>
      </c>
      <c r="D182" t="s">
        <v>79</v>
      </c>
      <c r="E182" t="s">
        <v>80</v>
      </c>
      <c r="F182" s="1">
        <v>1.7361111111111111E-5</v>
      </c>
      <c r="G182" t="s">
        <v>16</v>
      </c>
      <c r="H182">
        <v>4</v>
      </c>
      <c r="I182">
        <v>74</v>
      </c>
      <c r="J182">
        <v>78</v>
      </c>
      <c r="L182" t="s">
        <v>17</v>
      </c>
      <c r="M182" s="3">
        <f t="shared" si="29"/>
        <v>1.4989998657256365</v>
      </c>
    </row>
    <row r="183" spans="1:13" x14ac:dyDescent="0.25">
      <c r="A183" t="s">
        <v>78</v>
      </c>
      <c r="B183">
        <v>2</v>
      </c>
      <c r="C183" t="s">
        <v>13</v>
      </c>
      <c r="D183" t="s">
        <v>81</v>
      </c>
      <c r="E183" t="s">
        <v>82</v>
      </c>
      <c r="F183" s="1">
        <v>1.6203703703703704E-5</v>
      </c>
      <c r="G183" t="s">
        <v>16</v>
      </c>
      <c r="H183">
        <v>4</v>
      </c>
      <c r="I183">
        <v>74</v>
      </c>
      <c r="J183">
        <v>78</v>
      </c>
      <c r="L183" t="s">
        <v>17</v>
      </c>
      <c r="M183" s="3">
        <f t="shared" si="29"/>
        <v>1.427000155672431</v>
      </c>
    </row>
    <row r="184" spans="1:13" x14ac:dyDescent="0.25">
      <c r="A184" t="s">
        <v>78</v>
      </c>
      <c r="B184">
        <v>3</v>
      </c>
      <c r="C184" t="s">
        <v>13</v>
      </c>
      <c r="D184" t="s">
        <v>83</v>
      </c>
      <c r="E184" t="s">
        <v>84</v>
      </c>
      <c r="F184" s="1">
        <v>1.7361111111111111E-5</v>
      </c>
      <c r="G184" t="s">
        <v>16</v>
      </c>
      <c r="H184">
        <v>4</v>
      </c>
      <c r="I184">
        <v>74</v>
      </c>
      <c r="J184">
        <v>78</v>
      </c>
      <c r="L184" t="s">
        <v>17</v>
      </c>
      <c r="M184" s="3">
        <f t="shared" si="29"/>
        <v>1.51100002694875</v>
      </c>
    </row>
    <row r="185" spans="1:13" x14ac:dyDescent="0.25">
      <c r="A185" t="s">
        <v>78</v>
      </c>
      <c r="B185">
        <v>4</v>
      </c>
      <c r="C185" t="s">
        <v>13</v>
      </c>
      <c r="D185" t="s">
        <v>85</v>
      </c>
      <c r="E185" t="s">
        <v>86</v>
      </c>
      <c r="F185" s="1">
        <v>1.2731481481481482E-5</v>
      </c>
      <c r="G185" t="s">
        <v>16</v>
      </c>
      <c r="H185">
        <v>4</v>
      </c>
      <c r="I185">
        <v>74</v>
      </c>
      <c r="J185">
        <v>78</v>
      </c>
      <c r="L185" t="s">
        <v>17</v>
      </c>
      <c r="M185" s="3">
        <f t="shared" si="29"/>
        <v>1.1140001937747002</v>
      </c>
    </row>
    <row r="186" spans="1:13" x14ac:dyDescent="0.25">
      <c r="A186" t="s">
        <v>78</v>
      </c>
      <c r="B186">
        <v>5</v>
      </c>
      <c r="C186" t="s">
        <v>13</v>
      </c>
      <c r="D186" t="s">
        <v>87</v>
      </c>
      <c r="E186" t="s">
        <v>88</v>
      </c>
      <c r="F186" s="1">
        <v>1.6203703703703704E-5</v>
      </c>
      <c r="G186" t="s">
        <v>16</v>
      </c>
      <c r="H186">
        <v>4</v>
      </c>
      <c r="I186">
        <v>74</v>
      </c>
      <c r="J186">
        <v>78</v>
      </c>
      <c r="L186" t="s">
        <v>17</v>
      </c>
      <c r="M186" s="3">
        <f t="shared" si="29"/>
        <v>1.4160001650452614</v>
      </c>
    </row>
    <row r="187" spans="1:13" x14ac:dyDescent="0.25">
      <c r="A187" t="s">
        <v>78</v>
      </c>
      <c r="B187">
        <v>6</v>
      </c>
      <c r="C187" t="s">
        <v>13</v>
      </c>
      <c r="D187" t="s">
        <v>89</v>
      </c>
      <c r="E187" t="s">
        <v>90</v>
      </c>
      <c r="F187" s="1">
        <v>1.6203703703703704E-5</v>
      </c>
      <c r="G187" t="s">
        <v>16</v>
      </c>
      <c r="H187">
        <v>4</v>
      </c>
      <c r="I187">
        <v>74</v>
      </c>
      <c r="J187">
        <v>78</v>
      </c>
      <c r="L187" t="s">
        <v>17</v>
      </c>
      <c r="M187" s="3">
        <f t="shared" si="29"/>
        <v>1.4439999125897884</v>
      </c>
    </row>
    <row r="188" spans="1:13" x14ac:dyDescent="0.25">
      <c r="A188" t="s">
        <v>78</v>
      </c>
      <c r="B188">
        <v>7</v>
      </c>
      <c r="C188" t="s">
        <v>13</v>
      </c>
      <c r="D188" t="s">
        <v>91</v>
      </c>
      <c r="E188" t="s">
        <v>92</v>
      </c>
      <c r="F188" s="1">
        <v>1.7361111111111111E-5</v>
      </c>
      <c r="G188" t="s">
        <v>16</v>
      </c>
      <c r="H188">
        <v>4</v>
      </c>
      <c r="I188">
        <v>74</v>
      </c>
      <c r="J188">
        <v>78</v>
      </c>
      <c r="L188" t="s">
        <v>17</v>
      </c>
      <c r="M188" s="3">
        <f t="shared" si="29"/>
        <v>1.5150000806897879</v>
      </c>
    </row>
    <row r="189" spans="1:13" x14ac:dyDescent="0.25">
      <c r="A189" t="s">
        <v>78</v>
      </c>
      <c r="B189">
        <v>8</v>
      </c>
      <c r="C189" t="s">
        <v>13</v>
      </c>
      <c r="D189" t="s">
        <v>93</v>
      </c>
      <c r="E189" t="s">
        <v>94</v>
      </c>
      <c r="F189" s="1">
        <v>1.3888888888888888E-5</v>
      </c>
      <c r="G189" t="s">
        <v>16</v>
      </c>
      <c r="H189">
        <v>4</v>
      </c>
      <c r="I189">
        <v>74</v>
      </c>
      <c r="J189">
        <v>78</v>
      </c>
      <c r="L189" t="s">
        <v>17</v>
      </c>
      <c r="M189" s="3">
        <f t="shared" si="29"/>
        <v>1.1960003525018692</v>
      </c>
    </row>
    <row r="190" spans="1:13" x14ac:dyDescent="0.25">
      <c r="A190" t="s">
        <v>78</v>
      </c>
      <c r="B190">
        <v>9</v>
      </c>
      <c r="C190" t="s">
        <v>13</v>
      </c>
      <c r="D190" t="s">
        <v>95</v>
      </c>
      <c r="E190" t="s">
        <v>96</v>
      </c>
      <c r="F190" s="1">
        <v>1.6203703703703704E-5</v>
      </c>
      <c r="G190" t="s">
        <v>16</v>
      </c>
      <c r="H190">
        <v>4</v>
      </c>
      <c r="I190">
        <v>74</v>
      </c>
      <c r="J190">
        <v>78</v>
      </c>
      <c r="L190" t="s">
        <v>17</v>
      </c>
      <c r="M190" s="3">
        <f t="shared" si="29"/>
        <v>1.4490001369267702</v>
      </c>
    </row>
    <row r="191" spans="1:13" x14ac:dyDescent="0.25">
      <c r="A191" t="s">
        <v>78</v>
      </c>
      <c r="B191">
        <v>10</v>
      </c>
      <c r="C191" t="s">
        <v>13</v>
      </c>
      <c r="D191" t="s">
        <v>97</v>
      </c>
      <c r="E191" t="s">
        <v>98</v>
      </c>
      <c r="F191" s="1">
        <v>1.2731481481481482E-5</v>
      </c>
      <c r="G191" t="s">
        <v>16</v>
      </c>
      <c r="H191">
        <v>4</v>
      </c>
      <c r="I191">
        <v>74</v>
      </c>
      <c r="J191">
        <v>78</v>
      </c>
      <c r="L191" t="s">
        <v>17</v>
      </c>
      <c r="M191" s="3">
        <f t="shared" si="29"/>
        <v>1.0999996913596988</v>
      </c>
    </row>
    <row r="192" spans="1:13" x14ac:dyDescent="0.25">
      <c r="A192" t="s">
        <v>78</v>
      </c>
      <c r="B192">
        <v>1</v>
      </c>
      <c r="C192" t="s">
        <v>36</v>
      </c>
      <c r="D192" t="s">
        <v>99</v>
      </c>
      <c r="E192" t="s">
        <v>100</v>
      </c>
      <c r="F192" s="1">
        <v>1.9675925925925925E-5</v>
      </c>
      <c r="G192" t="s">
        <v>16</v>
      </c>
      <c r="H192">
        <v>4</v>
      </c>
      <c r="I192">
        <v>150</v>
      </c>
      <c r="J192">
        <v>154</v>
      </c>
      <c r="L192" t="s">
        <v>17</v>
      </c>
      <c r="M192" s="3">
        <f t="shared" si="29"/>
        <v>1.6939998138695955</v>
      </c>
    </row>
    <row r="193" spans="1:13" x14ac:dyDescent="0.25">
      <c r="A193" t="s">
        <v>78</v>
      </c>
      <c r="B193">
        <v>2</v>
      </c>
      <c r="C193" t="s">
        <v>36</v>
      </c>
      <c r="D193" t="s">
        <v>101</v>
      </c>
      <c r="E193" t="s">
        <v>102</v>
      </c>
      <c r="F193" s="1">
        <v>1.6203703703703704E-5</v>
      </c>
      <c r="G193" t="s">
        <v>16</v>
      </c>
      <c r="H193">
        <v>4</v>
      </c>
      <c r="I193">
        <v>150</v>
      </c>
      <c r="J193">
        <v>154</v>
      </c>
      <c r="L193" t="s">
        <v>17</v>
      </c>
      <c r="M193" s="3">
        <f t="shared" si="29"/>
        <v>1.4329999219626188</v>
      </c>
    </row>
    <row r="194" spans="1:13" x14ac:dyDescent="0.25">
      <c r="A194" t="s">
        <v>78</v>
      </c>
      <c r="B194">
        <v>3</v>
      </c>
      <c r="C194" t="s">
        <v>36</v>
      </c>
      <c r="D194" t="s">
        <v>103</v>
      </c>
      <c r="E194" t="s">
        <v>104</v>
      </c>
      <c r="F194" s="1">
        <v>1.6203703703703704E-5</v>
      </c>
      <c r="G194" t="s">
        <v>16</v>
      </c>
      <c r="H194">
        <v>4</v>
      </c>
      <c r="I194">
        <v>150</v>
      </c>
      <c r="J194">
        <v>154</v>
      </c>
      <c r="L194" t="s">
        <v>17</v>
      </c>
      <c r="M194" s="3">
        <f t="shared" si="29"/>
        <v>1.3549998169764876</v>
      </c>
    </row>
    <row r="195" spans="1:13" x14ac:dyDescent="0.25">
      <c r="A195" t="s">
        <v>78</v>
      </c>
      <c r="B195">
        <v>4</v>
      </c>
      <c r="C195" t="s">
        <v>36</v>
      </c>
      <c r="D195" t="s">
        <v>105</v>
      </c>
      <c r="E195" t="s">
        <v>106</v>
      </c>
      <c r="F195" s="1">
        <v>1.3888888888888888E-5</v>
      </c>
      <c r="G195" t="s">
        <v>16</v>
      </c>
      <c r="H195">
        <v>4</v>
      </c>
      <c r="I195">
        <v>150</v>
      </c>
      <c r="J195">
        <v>154</v>
      </c>
      <c r="L195" t="s">
        <v>17</v>
      </c>
      <c r="M195" s="3">
        <f t="shared" ref="M195:M258" si="30">(SUBSTITUTE(LEFT(E195,23),"T"," ")-SUBSTITUTE(LEFT(D195,23),"T"," "))*86400</f>
        <v>1.2060001725330949</v>
      </c>
    </row>
    <row r="196" spans="1:13" x14ac:dyDescent="0.25">
      <c r="A196" t="s">
        <v>78</v>
      </c>
      <c r="B196">
        <v>5</v>
      </c>
      <c r="C196" t="s">
        <v>36</v>
      </c>
      <c r="D196" t="s">
        <v>107</v>
      </c>
      <c r="E196" t="s">
        <v>108</v>
      </c>
      <c r="F196" s="1">
        <v>1.7361111111111111E-5</v>
      </c>
      <c r="G196" t="s">
        <v>16</v>
      </c>
      <c r="H196">
        <v>4</v>
      </c>
      <c r="I196">
        <v>150</v>
      </c>
      <c r="J196">
        <v>154</v>
      </c>
      <c r="L196" t="s">
        <v>17</v>
      </c>
      <c r="M196" s="3">
        <f t="shared" si="30"/>
        <v>1.4710001181811094</v>
      </c>
    </row>
    <row r="197" spans="1:13" x14ac:dyDescent="0.25">
      <c r="A197" t="s">
        <v>78</v>
      </c>
      <c r="B197">
        <v>6</v>
      </c>
      <c r="C197" t="s">
        <v>36</v>
      </c>
      <c r="D197" t="s">
        <v>109</v>
      </c>
      <c r="E197" t="s">
        <v>110</v>
      </c>
      <c r="F197" s="1">
        <v>1.2731481481481482E-5</v>
      </c>
      <c r="G197" t="s">
        <v>16</v>
      </c>
      <c r="H197">
        <v>4</v>
      </c>
      <c r="I197">
        <v>150</v>
      </c>
      <c r="J197">
        <v>154</v>
      </c>
      <c r="L197" t="s">
        <v>17</v>
      </c>
      <c r="M197" s="3">
        <f t="shared" si="30"/>
        <v>1.1100001400336623</v>
      </c>
    </row>
    <row r="198" spans="1:13" x14ac:dyDescent="0.25">
      <c r="A198" t="s">
        <v>78</v>
      </c>
      <c r="B198">
        <v>7</v>
      </c>
      <c r="C198" t="s">
        <v>36</v>
      </c>
      <c r="D198" t="s">
        <v>111</v>
      </c>
      <c r="E198" t="s">
        <v>112</v>
      </c>
      <c r="F198" s="1">
        <v>2.199074074074074E-5</v>
      </c>
      <c r="G198" t="s">
        <v>16</v>
      </c>
      <c r="H198">
        <v>4</v>
      </c>
      <c r="I198">
        <v>150</v>
      </c>
      <c r="J198">
        <v>154</v>
      </c>
      <c r="L198" t="s">
        <v>17</v>
      </c>
      <c r="M198" s="3">
        <f t="shared" si="30"/>
        <v>1.0919995838776231</v>
      </c>
    </row>
    <row r="199" spans="1:13" x14ac:dyDescent="0.25">
      <c r="A199" t="s">
        <v>78</v>
      </c>
      <c r="B199">
        <v>8</v>
      </c>
      <c r="C199" t="s">
        <v>36</v>
      </c>
      <c r="D199" t="s">
        <v>113</v>
      </c>
      <c r="E199" t="s">
        <v>114</v>
      </c>
      <c r="F199" s="1">
        <v>1.2731481481481482E-5</v>
      </c>
      <c r="G199" t="s">
        <v>16</v>
      </c>
      <c r="H199">
        <v>4</v>
      </c>
      <c r="I199">
        <v>150</v>
      </c>
      <c r="J199">
        <v>154</v>
      </c>
      <c r="L199" t="s">
        <v>17</v>
      </c>
      <c r="M199" s="3">
        <f t="shared" si="30"/>
        <v>1.1449998244643211</v>
      </c>
    </row>
    <row r="200" spans="1:13" x14ac:dyDescent="0.25">
      <c r="A200" t="s">
        <v>78</v>
      </c>
      <c r="B200">
        <v>9</v>
      </c>
      <c r="C200" t="s">
        <v>36</v>
      </c>
      <c r="D200" t="s">
        <v>115</v>
      </c>
      <c r="E200" t="s">
        <v>116</v>
      </c>
      <c r="F200" s="1">
        <v>1.7361111111111111E-5</v>
      </c>
      <c r="G200" t="s">
        <v>16</v>
      </c>
      <c r="H200">
        <v>4</v>
      </c>
      <c r="I200">
        <v>150</v>
      </c>
      <c r="J200">
        <v>154</v>
      </c>
      <c r="L200" t="s">
        <v>17</v>
      </c>
      <c r="M200" s="3">
        <f t="shared" si="30"/>
        <v>1.483000279404223</v>
      </c>
    </row>
    <row r="201" spans="1:13" x14ac:dyDescent="0.25">
      <c r="A201" t="s">
        <v>78</v>
      </c>
      <c r="B201">
        <v>10</v>
      </c>
      <c r="C201" t="s">
        <v>36</v>
      </c>
      <c r="D201" t="s">
        <v>117</v>
      </c>
      <c r="E201" t="s">
        <v>118</v>
      </c>
      <c r="F201" s="1">
        <v>1.7361111111111111E-5</v>
      </c>
      <c r="G201" t="s">
        <v>16</v>
      </c>
      <c r="H201">
        <v>4</v>
      </c>
      <c r="I201">
        <v>150</v>
      </c>
      <c r="J201">
        <v>154</v>
      </c>
      <c r="L201" t="s">
        <v>17</v>
      </c>
      <c r="M201" s="3">
        <f t="shared" si="30"/>
        <v>1.483999821357429</v>
      </c>
    </row>
    <row r="202" spans="1:13" x14ac:dyDescent="0.25">
      <c r="A202" t="s">
        <v>78</v>
      </c>
      <c r="B202">
        <v>1</v>
      </c>
      <c r="C202" t="s">
        <v>57</v>
      </c>
      <c r="D202" t="s">
        <v>119</v>
      </c>
      <c r="E202" t="s">
        <v>120</v>
      </c>
      <c r="F202" s="1">
        <v>1.7361111111111111E-5</v>
      </c>
      <c r="G202" t="s">
        <v>16</v>
      </c>
      <c r="H202">
        <v>4</v>
      </c>
      <c r="I202">
        <v>104</v>
      </c>
      <c r="J202">
        <v>108</v>
      </c>
      <c r="L202" t="s">
        <v>17</v>
      </c>
      <c r="M202" s="3">
        <f t="shared" si="30"/>
        <v>1.5069999732077122</v>
      </c>
    </row>
    <row r="203" spans="1:13" x14ac:dyDescent="0.25">
      <c r="A203" t="s">
        <v>78</v>
      </c>
      <c r="B203">
        <v>2</v>
      </c>
      <c r="C203" t="s">
        <v>57</v>
      </c>
      <c r="D203" t="s">
        <v>121</v>
      </c>
      <c r="E203" t="s">
        <v>122</v>
      </c>
      <c r="F203" s="1">
        <v>1.7361111111111111E-5</v>
      </c>
      <c r="G203" t="s">
        <v>16</v>
      </c>
      <c r="H203">
        <v>4</v>
      </c>
      <c r="I203">
        <v>104</v>
      </c>
      <c r="J203">
        <v>108</v>
      </c>
      <c r="L203" t="s">
        <v>17</v>
      </c>
      <c r="M203" s="3">
        <f t="shared" si="30"/>
        <v>1.5019997488707304</v>
      </c>
    </row>
    <row r="204" spans="1:13" x14ac:dyDescent="0.25">
      <c r="A204" t="s">
        <v>78</v>
      </c>
      <c r="B204">
        <v>3</v>
      </c>
      <c r="C204" t="s">
        <v>57</v>
      </c>
      <c r="D204" t="s">
        <v>123</v>
      </c>
      <c r="E204" t="s">
        <v>124</v>
      </c>
      <c r="F204" s="1">
        <v>1.6203703703703704E-5</v>
      </c>
      <c r="G204" t="s">
        <v>16</v>
      </c>
      <c r="H204">
        <v>4</v>
      </c>
      <c r="I204">
        <v>104</v>
      </c>
      <c r="J204">
        <v>108</v>
      </c>
      <c r="L204" t="s">
        <v>17</v>
      </c>
      <c r="M204" s="3">
        <f t="shared" si="30"/>
        <v>1.3840003637596965</v>
      </c>
    </row>
    <row r="205" spans="1:13" x14ac:dyDescent="0.25">
      <c r="A205" t="s">
        <v>78</v>
      </c>
      <c r="B205">
        <v>4</v>
      </c>
      <c r="C205" t="s">
        <v>57</v>
      </c>
      <c r="D205" t="s">
        <v>125</v>
      </c>
      <c r="E205" t="s">
        <v>126</v>
      </c>
      <c r="F205" s="1">
        <v>1.7361111111111111E-5</v>
      </c>
      <c r="G205" t="s">
        <v>16</v>
      </c>
      <c r="H205">
        <v>4</v>
      </c>
      <c r="I205">
        <v>104</v>
      </c>
      <c r="J205">
        <v>108</v>
      </c>
      <c r="L205" t="s">
        <v>17</v>
      </c>
      <c r="M205" s="3">
        <f t="shared" si="30"/>
        <v>1.4769998844712973</v>
      </c>
    </row>
    <row r="206" spans="1:13" x14ac:dyDescent="0.25">
      <c r="A206" t="s">
        <v>78</v>
      </c>
      <c r="B206">
        <v>5</v>
      </c>
      <c r="C206" t="s">
        <v>57</v>
      </c>
      <c r="D206" t="s">
        <v>127</v>
      </c>
      <c r="E206" t="s">
        <v>128</v>
      </c>
      <c r="F206" s="1">
        <v>1.7361111111111111E-5</v>
      </c>
      <c r="G206" t="s">
        <v>16</v>
      </c>
      <c r="H206">
        <v>4</v>
      </c>
      <c r="I206">
        <v>104</v>
      </c>
      <c r="J206">
        <v>108</v>
      </c>
      <c r="L206" t="s">
        <v>17</v>
      </c>
      <c r="M206" s="3">
        <f t="shared" si="30"/>
        <v>1.5099998563528061</v>
      </c>
    </row>
    <row r="207" spans="1:13" x14ac:dyDescent="0.25">
      <c r="A207" t="s">
        <v>78</v>
      </c>
      <c r="B207">
        <v>6</v>
      </c>
      <c r="C207" t="s">
        <v>57</v>
      </c>
      <c r="D207" t="s">
        <v>129</v>
      </c>
      <c r="E207" t="s">
        <v>130</v>
      </c>
      <c r="F207" s="1">
        <v>1.3888888888888888E-5</v>
      </c>
      <c r="G207" t="s">
        <v>16</v>
      </c>
      <c r="H207">
        <v>4</v>
      </c>
      <c r="I207">
        <v>104</v>
      </c>
      <c r="J207">
        <v>108</v>
      </c>
      <c r="L207" t="s">
        <v>17</v>
      </c>
      <c r="M207" s="3">
        <f t="shared" si="30"/>
        <v>1.203999831341207</v>
      </c>
    </row>
    <row r="208" spans="1:13" x14ac:dyDescent="0.25">
      <c r="A208" t="s">
        <v>78</v>
      </c>
      <c r="B208">
        <v>7</v>
      </c>
      <c r="C208" t="s">
        <v>57</v>
      </c>
      <c r="D208" t="s">
        <v>131</v>
      </c>
      <c r="E208" t="s">
        <v>132</v>
      </c>
      <c r="F208" s="1">
        <v>1.8518518518518518E-5</v>
      </c>
      <c r="G208" t="s">
        <v>16</v>
      </c>
      <c r="H208">
        <v>4</v>
      </c>
      <c r="I208">
        <v>104</v>
      </c>
      <c r="J208">
        <v>108</v>
      </c>
      <c r="L208" t="s">
        <v>17</v>
      </c>
      <c r="M208" s="3">
        <f t="shared" si="30"/>
        <v>1.5509999357163906</v>
      </c>
    </row>
    <row r="209" spans="1:13" x14ac:dyDescent="0.25">
      <c r="A209" t="s">
        <v>78</v>
      </c>
      <c r="B209">
        <v>8</v>
      </c>
      <c r="C209" t="s">
        <v>57</v>
      </c>
      <c r="D209" t="s">
        <v>133</v>
      </c>
      <c r="E209" t="s">
        <v>134</v>
      </c>
      <c r="F209" s="1">
        <v>1.5046296296296297E-5</v>
      </c>
      <c r="G209" t="s">
        <v>16</v>
      </c>
      <c r="H209">
        <v>4</v>
      </c>
      <c r="I209">
        <v>104</v>
      </c>
      <c r="J209">
        <v>108</v>
      </c>
      <c r="L209" t="s">
        <v>17</v>
      </c>
      <c r="M209" s="3">
        <f t="shared" si="30"/>
        <v>1.345999538898468</v>
      </c>
    </row>
    <row r="210" spans="1:13" x14ac:dyDescent="0.25">
      <c r="A210" t="s">
        <v>78</v>
      </c>
      <c r="B210">
        <v>9</v>
      </c>
      <c r="C210" t="s">
        <v>57</v>
      </c>
      <c r="D210" t="s">
        <v>135</v>
      </c>
      <c r="E210" t="s">
        <v>136</v>
      </c>
      <c r="F210" s="1">
        <v>1.7361111111111111E-5</v>
      </c>
      <c r="G210" t="s">
        <v>16</v>
      </c>
      <c r="H210">
        <v>4</v>
      </c>
      <c r="I210">
        <v>104</v>
      </c>
      <c r="J210">
        <v>108</v>
      </c>
      <c r="L210" t="s">
        <v>17</v>
      </c>
      <c r="M210" s="3">
        <f t="shared" si="30"/>
        <v>1.5150000806897879</v>
      </c>
    </row>
    <row r="211" spans="1:13" x14ac:dyDescent="0.25">
      <c r="A211" t="s">
        <v>78</v>
      </c>
      <c r="B211">
        <v>10</v>
      </c>
      <c r="C211" t="s">
        <v>57</v>
      </c>
      <c r="D211" t="s">
        <v>137</v>
      </c>
      <c r="E211" t="s">
        <v>138</v>
      </c>
      <c r="F211" s="1">
        <v>1.3888888888888888E-5</v>
      </c>
      <c r="G211" t="s">
        <v>16</v>
      </c>
      <c r="H211">
        <v>4</v>
      </c>
      <c r="I211">
        <v>104</v>
      </c>
      <c r="J211">
        <v>108</v>
      </c>
      <c r="L211" t="s">
        <v>17</v>
      </c>
      <c r="M211" s="3">
        <f t="shared" si="30"/>
        <v>1.2390001444146037</v>
      </c>
    </row>
    <row r="212" spans="1:13" x14ac:dyDescent="0.25">
      <c r="A212" t="s">
        <v>139</v>
      </c>
      <c r="B212">
        <v>1</v>
      </c>
      <c r="C212" t="s">
        <v>13</v>
      </c>
      <c r="D212" t="s">
        <v>140</v>
      </c>
      <c r="E212" t="s">
        <v>141</v>
      </c>
      <c r="F212" s="1">
        <v>1.6203703703703704E-5</v>
      </c>
      <c r="G212" t="s">
        <v>16</v>
      </c>
      <c r="H212">
        <v>2</v>
      </c>
      <c r="I212">
        <v>67</v>
      </c>
      <c r="J212">
        <v>69</v>
      </c>
      <c r="L212" t="s">
        <v>17</v>
      </c>
      <c r="M212" s="3">
        <f t="shared" si="30"/>
        <v>1.3720002025365829</v>
      </c>
    </row>
    <row r="213" spans="1:13" x14ac:dyDescent="0.25">
      <c r="A213" t="s">
        <v>139</v>
      </c>
      <c r="B213">
        <v>2</v>
      </c>
      <c r="C213" t="s">
        <v>13</v>
      </c>
      <c r="D213" t="s">
        <v>142</v>
      </c>
      <c r="E213" t="s">
        <v>143</v>
      </c>
      <c r="F213" s="1">
        <v>1.5046296296296297E-5</v>
      </c>
      <c r="G213" t="s">
        <v>16</v>
      </c>
      <c r="H213">
        <v>2</v>
      </c>
      <c r="I213">
        <v>67</v>
      </c>
      <c r="J213">
        <v>69</v>
      </c>
      <c r="L213" t="s">
        <v>17</v>
      </c>
      <c r="M213" s="3">
        <f t="shared" si="30"/>
        <v>1.2759995413944125</v>
      </c>
    </row>
    <row r="214" spans="1:13" x14ac:dyDescent="0.25">
      <c r="A214" t="s">
        <v>139</v>
      </c>
      <c r="B214">
        <v>3</v>
      </c>
      <c r="C214" t="s">
        <v>13</v>
      </c>
      <c r="D214" t="s">
        <v>144</v>
      </c>
      <c r="E214" t="s">
        <v>145</v>
      </c>
      <c r="F214" s="1">
        <v>1.3888888888888888E-5</v>
      </c>
      <c r="G214" t="s">
        <v>16</v>
      </c>
      <c r="H214">
        <v>2</v>
      </c>
      <c r="I214">
        <v>67</v>
      </c>
      <c r="J214">
        <v>69</v>
      </c>
      <c r="L214" t="s">
        <v>17</v>
      </c>
      <c r="M214" s="3">
        <f t="shared" si="30"/>
        <v>1.2099995976313949</v>
      </c>
    </row>
    <row r="215" spans="1:13" x14ac:dyDescent="0.25">
      <c r="A215" t="s">
        <v>139</v>
      </c>
      <c r="B215">
        <v>4</v>
      </c>
      <c r="C215" t="s">
        <v>13</v>
      </c>
      <c r="D215" t="s">
        <v>146</v>
      </c>
      <c r="E215" t="s">
        <v>147</v>
      </c>
      <c r="F215" s="1">
        <v>1.2731481481481482E-5</v>
      </c>
      <c r="G215" t="s">
        <v>16</v>
      </c>
      <c r="H215">
        <v>2</v>
      </c>
      <c r="I215">
        <v>67</v>
      </c>
      <c r="J215">
        <v>69</v>
      </c>
      <c r="L215" t="s">
        <v>17</v>
      </c>
      <c r="M215" s="3">
        <f t="shared" si="30"/>
        <v>1.1369997169822454</v>
      </c>
    </row>
    <row r="216" spans="1:13" x14ac:dyDescent="0.25">
      <c r="A216" t="s">
        <v>139</v>
      </c>
      <c r="B216">
        <v>5</v>
      </c>
      <c r="C216" t="s">
        <v>13</v>
      </c>
      <c r="D216" t="s">
        <v>148</v>
      </c>
      <c r="E216" t="s">
        <v>149</v>
      </c>
      <c r="F216" s="1">
        <v>1.5046296296296297E-5</v>
      </c>
      <c r="G216" t="s">
        <v>16</v>
      </c>
      <c r="H216">
        <v>2</v>
      </c>
      <c r="I216">
        <v>67</v>
      </c>
      <c r="J216">
        <v>69</v>
      </c>
      <c r="L216" t="s">
        <v>17</v>
      </c>
      <c r="M216" s="3">
        <f t="shared" si="30"/>
        <v>1.2499995063990355</v>
      </c>
    </row>
    <row r="217" spans="1:13" x14ac:dyDescent="0.25">
      <c r="A217" t="s">
        <v>139</v>
      </c>
      <c r="B217">
        <v>6</v>
      </c>
      <c r="C217" t="s">
        <v>13</v>
      </c>
      <c r="D217" t="s">
        <v>150</v>
      </c>
      <c r="E217" t="s">
        <v>151</v>
      </c>
      <c r="F217" s="1">
        <v>1.2731481481481482E-5</v>
      </c>
      <c r="G217" t="s">
        <v>16</v>
      </c>
      <c r="H217">
        <v>2</v>
      </c>
      <c r="I217">
        <v>67</v>
      </c>
      <c r="J217">
        <v>69</v>
      </c>
      <c r="L217" t="s">
        <v>17</v>
      </c>
      <c r="M217" s="3">
        <f t="shared" si="30"/>
        <v>1.1320001212880015</v>
      </c>
    </row>
    <row r="218" spans="1:13" x14ac:dyDescent="0.25">
      <c r="A218" t="s">
        <v>139</v>
      </c>
      <c r="B218">
        <v>7</v>
      </c>
      <c r="C218" t="s">
        <v>13</v>
      </c>
      <c r="D218" t="s">
        <v>152</v>
      </c>
      <c r="E218" t="s">
        <v>153</v>
      </c>
      <c r="F218" s="1">
        <v>1.5046296296296297E-5</v>
      </c>
      <c r="G218" t="s">
        <v>16</v>
      </c>
      <c r="H218">
        <v>2</v>
      </c>
      <c r="I218">
        <v>67</v>
      </c>
      <c r="J218">
        <v>69</v>
      </c>
      <c r="L218" t="s">
        <v>17</v>
      </c>
      <c r="M218" s="3">
        <f t="shared" si="30"/>
        <v>1.2519998475909233</v>
      </c>
    </row>
    <row r="219" spans="1:13" x14ac:dyDescent="0.25">
      <c r="A219" t="s">
        <v>139</v>
      </c>
      <c r="B219">
        <v>8</v>
      </c>
      <c r="C219" t="s">
        <v>13</v>
      </c>
      <c r="D219" t="s">
        <v>154</v>
      </c>
      <c r="E219" t="s">
        <v>155</v>
      </c>
      <c r="F219" s="1">
        <v>1.3888888888888888E-5</v>
      </c>
      <c r="G219" t="s">
        <v>16</v>
      </c>
      <c r="H219">
        <v>2</v>
      </c>
      <c r="I219">
        <v>67</v>
      </c>
      <c r="J219">
        <v>69</v>
      </c>
      <c r="L219" t="s">
        <v>17</v>
      </c>
      <c r="M219" s="3">
        <f t="shared" si="30"/>
        <v>1.2250002706423402</v>
      </c>
    </row>
    <row r="220" spans="1:13" x14ac:dyDescent="0.25">
      <c r="A220" t="s">
        <v>139</v>
      </c>
      <c r="B220">
        <v>9</v>
      </c>
      <c r="C220" t="s">
        <v>13</v>
      </c>
      <c r="D220" t="s">
        <v>156</v>
      </c>
      <c r="E220" t="s">
        <v>157</v>
      </c>
      <c r="F220" s="1">
        <v>1.5046296296296297E-5</v>
      </c>
      <c r="G220" t="s">
        <v>16</v>
      </c>
      <c r="H220">
        <v>2</v>
      </c>
      <c r="I220">
        <v>67</v>
      </c>
      <c r="J220">
        <v>69</v>
      </c>
      <c r="L220" t="s">
        <v>17</v>
      </c>
      <c r="M220" s="3">
        <f t="shared" si="30"/>
        <v>1.343000284396112</v>
      </c>
    </row>
    <row r="221" spans="1:13" x14ac:dyDescent="0.25">
      <c r="A221" t="s">
        <v>139</v>
      </c>
      <c r="B221">
        <v>10</v>
      </c>
      <c r="C221" t="s">
        <v>13</v>
      </c>
      <c r="D221" t="s">
        <v>158</v>
      </c>
      <c r="E221" t="s">
        <v>159</v>
      </c>
      <c r="F221" s="1">
        <v>1.9675925925925925E-5</v>
      </c>
      <c r="G221" t="s">
        <v>16</v>
      </c>
      <c r="H221">
        <v>2</v>
      </c>
      <c r="I221">
        <v>67</v>
      </c>
      <c r="J221">
        <v>69</v>
      </c>
      <c r="L221" t="s">
        <v>17</v>
      </c>
      <c r="M221" s="3">
        <f t="shared" si="30"/>
        <v>1.0729994857683778</v>
      </c>
    </row>
    <row r="222" spans="1:13" x14ac:dyDescent="0.25">
      <c r="A222" t="s">
        <v>139</v>
      </c>
      <c r="B222">
        <v>1</v>
      </c>
      <c r="C222" t="s">
        <v>36</v>
      </c>
      <c r="D222" t="s">
        <v>160</v>
      </c>
      <c r="E222" t="s">
        <v>161</v>
      </c>
      <c r="F222" s="1">
        <v>1.5046296296296297E-5</v>
      </c>
      <c r="G222" t="s">
        <v>16</v>
      </c>
      <c r="H222">
        <v>2</v>
      </c>
      <c r="I222">
        <v>161</v>
      </c>
      <c r="J222">
        <v>163</v>
      </c>
      <c r="L222" t="s">
        <v>17</v>
      </c>
      <c r="M222" s="3">
        <f t="shared" si="30"/>
        <v>1.2519998475909233</v>
      </c>
    </row>
    <row r="223" spans="1:13" x14ac:dyDescent="0.25">
      <c r="A223" t="s">
        <v>139</v>
      </c>
      <c r="B223">
        <v>2</v>
      </c>
      <c r="C223" t="s">
        <v>36</v>
      </c>
      <c r="D223" t="s">
        <v>162</v>
      </c>
      <c r="E223" t="s">
        <v>163</v>
      </c>
      <c r="F223" s="1">
        <v>1.8518518518518518E-5</v>
      </c>
      <c r="G223" t="s">
        <v>16</v>
      </c>
      <c r="H223">
        <v>2</v>
      </c>
      <c r="I223">
        <v>161</v>
      </c>
      <c r="J223">
        <v>163</v>
      </c>
      <c r="L223" t="s">
        <v>17</v>
      </c>
      <c r="M223" s="3">
        <f t="shared" si="30"/>
        <v>1.5640002675354481</v>
      </c>
    </row>
    <row r="224" spans="1:13" x14ac:dyDescent="0.25">
      <c r="A224" t="s">
        <v>139</v>
      </c>
      <c r="B224">
        <v>3</v>
      </c>
      <c r="C224" t="s">
        <v>36</v>
      </c>
      <c r="D224" t="s">
        <v>164</v>
      </c>
      <c r="E224" t="s">
        <v>165</v>
      </c>
      <c r="F224" s="1">
        <v>1.5046296296296297E-5</v>
      </c>
      <c r="G224" t="s">
        <v>16</v>
      </c>
      <c r="H224">
        <v>2</v>
      </c>
      <c r="I224">
        <v>161</v>
      </c>
      <c r="J224">
        <v>163</v>
      </c>
      <c r="L224" t="s">
        <v>17</v>
      </c>
      <c r="M224" s="3">
        <f t="shared" si="30"/>
        <v>1.3109998544678092</v>
      </c>
    </row>
    <row r="225" spans="1:13" x14ac:dyDescent="0.25">
      <c r="A225" t="s">
        <v>139</v>
      </c>
      <c r="B225">
        <v>4</v>
      </c>
      <c r="C225" t="s">
        <v>36</v>
      </c>
      <c r="D225" t="s">
        <v>166</v>
      </c>
      <c r="E225" t="s">
        <v>167</v>
      </c>
      <c r="F225" s="1">
        <v>1.3888888888888888E-5</v>
      </c>
      <c r="G225" t="s">
        <v>16</v>
      </c>
      <c r="H225">
        <v>2</v>
      </c>
      <c r="I225">
        <v>161</v>
      </c>
      <c r="J225">
        <v>163</v>
      </c>
      <c r="L225" t="s">
        <v>17</v>
      </c>
      <c r="M225" s="3">
        <f t="shared" si="30"/>
        <v>1.1950001819059253</v>
      </c>
    </row>
    <row r="226" spans="1:13" x14ac:dyDescent="0.25">
      <c r="A226" t="s">
        <v>139</v>
      </c>
      <c r="B226">
        <v>5</v>
      </c>
      <c r="C226" t="s">
        <v>36</v>
      </c>
      <c r="D226" t="s">
        <v>168</v>
      </c>
      <c r="E226" t="s">
        <v>169</v>
      </c>
      <c r="F226" s="1">
        <v>1.3888888888888888E-5</v>
      </c>
      <c r="G226" t="s">
        <v>16</v>
      </c>
      <c r="H226">
        <v>2</v>
      </c>
      <c r="I226">
        <v>161</v>
      </c>
      <c r="J226">
        <v>163</v>
      </c>
      <c r="L226" t="s">
        <v>17</v>
      </c>
      <c r="M226" s="3">
        <f t="shared" si="30"/>
        <v>1.1789999669417739</v>
      </c>
    </row>
    <row r="227" spans="1:13" x14ac:dyDescent="0.25">
      <c r="A227" t="s">
        <v>139</v>
      </c>
      <c r="B227">
        <v>6</v>
      </c>
      <c r="C227" t="s">
        <v>36</v>
      </c>
      <c r="D227" t="s">
        <v>170</v>
      </c>
      <c r="E227" t="s">
        <v>171</v>
      </c>
      <c r="F227" s="1">
        <v>1.5046296296296297E-5</v>
      </c>
      <c r="G227" t="s">
        <v>16</v>
      </c>
      <c r="H227">
        <v>2</v>
      </c>
      <c r="I227">
        <v>161</v>
      </c>
      <c r="J227">
        <v>163</v>
      </c>
      <c r="L227" t="s">
        <v>17</v>
      </c>
      <c r="M227" s="3">
        <f t="shared" si="30"/>
        <v>1.2760001700371504</v>
      </c>
    </row>
    <row r="228" spans="1:13" x14ac:dyDescent="0.25">
      <c r="A228" t="s">
        <v>139</v>
      </c>
      <c r="B228">
        <v>7</v>
      </c>
      <c r="C228" t="s">
        <v>36</v>
      </c>
      <c r="D228" t="s">
        <v>172</v>
      </c>
      <c r="E228" t="s">
        <v>173</v>
      </c>
      <c r="F228" s="1">
        <v>1.6203703703703704E-5</v>
      </c>
      <c r="G228" t="s">
        <v>16</v>
      </c>
      <c r="H228">
        <v>2</v>
      </c>
      <c r="I228">
        <v>161</v>
      </c>
      <c r="J228">
        <v>163</v>
      </c>
      <c r="L228" t="s">
        <v>17</v>
      </c>
      <c r="M228" s="3">
        <f t="shared" si="30"/>
        <v>1.3979996088892221</v>
      </c>
    </row>
    <row r="229" spans="1:13" x14ac:dyDescent="0.25">
      <c r="A229" t="s">
        <v>139</v>
      </c>
      <c r="B229">
        <v>8</v>
      </c>
      <c r="C229" t="s">
        <v>36</v>
      </c>
      <c r="D229" t="s">
        <v>174</v>
      </c>
      <c r="E229" t="s">
        <v>175</v>
      </c>
      <c r="F229" s="1">
        <v>1.3888888888888888E-5</v>
      </c>
      <c r="G229" t="s">
        <v>16</v>
      </c>
      <c r="H229">
        <v>2</v>
      </c>
      <c r="I229">
        <v>161</v>
      </c>
      <c r="J229">
        <v>163</v>
      </c>
      <c r="L229" t="s">
        <v>17</v>
      </c>
      <c r="M229" s="3">
        <f t="shared" si="30"/>
        <v>1.1880002450197935</v>
      </c>
    </row>
    <row r="230" spans="1:13" x14ac:dyDescent="0.25">
      <c r="A230" t="s">
        <v>139</v>
      </c>
      <c r="B230">
        <v>9</v>
      </c>
      <c r="C230" t="s">
        <v>36</v>
      </c>
      <c r="D230" t="s">
        <v>176</v>
      </c>
      <c r="E230" t="s">
        <v>177</v>
      </c>
      <c r="F230" s="1">
        <v>2.199074074074074E-5</v>
      </c>
      <c r="G230" t="s">
        <v>16</v>
      </c>
      <c r="H230">
        <v>2</v>
      </c>
      <c r="I230">
        <v>161</v>
      </c>
      <c r="J230">
        <v>163</v>
      </c>
      <c r="L230" t="s">
        <v>17</v>
      </c>
      <c r="M230" s="3">
        <f t="shared" si="30"/>
        <v>1.0899998713284731</v>
      </c>
    </row>
    <row r="231" spans="1:13" x14ac:dyDescent="0.25">
      <c r="A231" t="s">
        <v>139</v>
      </c>
      <c r="B231">
        <v>10</v>
      </c>
      <c r="C231" t="s">
        <v>36</v>
      </c>
      <c r="D231" t="s">
        <v>178</v>
      </c>
      <c r="E231" t="s">
        <v>179</v>
      </c>
      <c r="F231" s="1">
        <v>1.5046296296296297E-5</v>
      </c>
      <c r="G231" t="s">
        <v>16</v>
      </c>
      <c r="H231">
        <v>2</v>
      </c>
      <c r="I231">
        <v>161</v>
      </c>
      <c r="J231">
        <v>163</v>
      </c>
      <c r="L231" t="s">
        <v>17</v>
      </c>
      <c r="M231" s="3">
        <f t="shared" si="30"/>
        <v>1.2880003312602639</v>
      </c>
    </row>
    <row r="232" spans="1:13" x14ac:dyDescent="0.25">
      <c r="A232" t="s">
        <v>139</v>
      </c>
      <c r="B232">
        <v>1</v>
      </c>
      <c r="C232" t="s">
        <v>57</v>
      </c>
      <c r="D232" t="s">
        <v>180</v>
      </c>
      <c r="E232" t="s">
        <v>181</v>
      </c>
      <c r="F232" s="1">
        <v>1.3888888888888888E-5</v>
      </c>
      <c r="G232" t="s">
        <v>16</v>
      </c>
      <c r="H232">
        <v>2</v>
      </c>
      <c r="I232">
        <v>94</v>
      </c>
      <c r="J232">
        <v>96</v>
      </c>
      <c r="L232" t="s">
        <v>17</v>
      </c>
      <c r="M232" s="3">
        <f t="shared" si="30"/>
        <v>1.1759994551539421</v>
      </c>
    </row>
    <row r="233" spans="1:13" x14ac:dyDescent="0.25">
      <c r="A233" t="s">
        <v>139</v>
      </c>
      <c r="B233">
        <v>2</v>
      </c>
      <c r="C233" t="s">
        <v>57</v>
      </c>
      <c r="D233" t="s">
        <v>182</v>
      </c>
      <c r="E233" t="s">
        <v>183</v>
      </c>
      <c r="F233" s="1">
        <v>1.3888888888888888E-5</v>
      </c>
      <c r="G233" t="s">
        <v>16</v>
      </c>
      <c r="H233">
        <v>2</v>
      </c>
      <c r="I233">
        <v>94</v>
      </c>
      <c r="J233">
        <v>96</v>
      </c>
      <c r="L233" t="s">
        <v>17</v>
      </c>
      <c r="M233" s="3">
        <f t="shared" si="30"/>
        <v>1.1669998057186604</v>
      </c>
    </row>
    <row r="234" spans="1:13" x14ac:dyDescent="0.25">
      <c r="A234" t="s">
        <v>139</v>
      </c>
      <c r="B234">
        <v>3</v>
      </c>
      <c r="C234" t="s">
        <v>57</v>
      </c>
      <c r="D234" t="s">
        <v>184</v>
      </c>
      <c r="E234" t="s">
        <v>185</v>
      </c>
      <c r="F234" s="1">
        <v>1.3888888888888888E-5</v>
      </c>
      <c r="G234" t="s">
        <v>16</v>
      </c>
      <c r="H234">
        <v>2</v>
      </c>
      <c r="I234">
        <v>94</v>
      </c>
      <c r="J234">
        <v>96</v>
      </c>
      <c r="L234" t="s">
        <v>17</v>
      </c>
      <c r="M234" s="3">
        <f t="shared" si="30"/>
        <v>1.2080005137249827</v>
      </c>
    </row>
    <row r="235" spans="1:13" x14ac:dyDescent="0.25">
      <c r="A235" t="s">
        <v>139</v>
      </c>
      <c r="B235">
        <v>4</v>
      </c>
      <c r="C235" t="s">
        <v>57</v>
      </c>
      <c r="D235" t="s">
        <v>186</v>
      </c>
      <c r="E235" t="s">
        <v>187</v>
      </c>
      <c r="F235" s="1">
        <v>1.2731481481481482E-5</v>
      </c>
      <c r="G235" t="s">
        <v>16</v>
      </c>
      <c r="H235">
        <v>2</v>
      </c>
      <c r="I235">
        <v>94</v>
      </c>
      <c r="J235">
        <v>96</v>
      </c>
      <c r="L235" t="s">
        <v>17</v>
      </c>
      <c r="M235" s="3">
        <f t="shared" si="30"/>
        <v>1.1149997357279062</v>
      </c>
    </row>
    <row r="236" spans="1:13" x14ac:dyDescent="0.25">
      <c r="A236" t="s">
        <v>139</v>
      </c>
      <c r="B236">
        <v>5</v>
      </c>
      <c r="C236" t="s">
        <v>57</v>
      </c>
      <c r="D236" t="s">
        <v>188</v>
      </c>
      <c r="E236" t="s">
        <v>189</v>
      </c>
      <c r="F236" s="1">
        <v>1.3888888888888888E-5</v>
      </c>
      <c r="G236" t="s">
        <v>16</v>
      </c>
      <c r="H236">
        <v>2</v>
      </c>
      <c r="I236">
        <v>94</v>
      </c>
      <c r="J236">
        <v>96</v>
      </c>
      <c r="L236" t="s">
        <v>17</v>
      </c>
      <c r="M236" s="3">
        <f t="shared" si="30"/>
        <v>1.1510002193972468</v>
      </c>
    </row>
    <row r="237" spans="1:13" x14ac:dyDescent="0.25">
      <c r="A237" t="s">
        <v>139</v>
      </c>
      <c r="B237">
        <v>6</v>
      </c>
      <c r="C237" t="s">
        <v>57</v>
      </c>
      <c r="D237" t="s">
        <v>190</v>
      </c>
      <c r="E237" t="s">
        <v>191</v>
      </c>
      <c r="F237" s="1">
        <v>1.9675925925925925E-5</v>
      </c>
      <c r="G237" t="s">
        <v>16</v>
      </c>
      <c r="H237">
        <v>2</v>
      </c>
      <c r="I237">
        <v>94</v>
      </c>
      <c r="J237">
        <v>96</v>
      </c>
      <c r="L237" t="s">
        <v>17</v>
      </c>
      <c r="M237" s="3">
        <f t="shared" si="30"/>
        <v>1.0740002850070596</v>
      </c>
    </row>
    <row r="238" spans="1:13" x14ac:dyDescent="0.25">
      <c r="A238" t="s">
        <v>139</v>
      </c>
      <c r="B238">
        <v>7</v>
      </c>
      <c r="C238" t="s">
        <v>57</v>
      </c>
      <c r="D238" t="s">
        <v>192</v>
      </c>
      <c r="E238" t="s">
        <v>193</v>
      </c>
      <c r="F238" s="1">
        <v>1.2731481481481482E-5</v>
      </c>
      <c r="G238" t="s">
        <v>16</v>
      </c>
      <c r="H238">
        <v>2</v>
      </c>
      <c r="I238">
        <v>94</v>
      </c>
      <c r="J238">
        <v>96</v>
      </c>
      <c r="L238" t="s">
        <v>17</v>
      </c>
      <c r="M238" s="3">
        <f t="shared" si="30"/>
        <v>1.0009997757151723</v>
      </c>
    </row>
    <row r="239" spans="1:13" x14ac:dyDescent="0.25">
      <c r="A239" t="s">
        <v>139</v>
      </c>
      <c r="B239">
        <v>8</v>
      </c>
      <c r="C239" t="s">
        <v>57</v>
      </c>
      <c r="D239" t="s">
        <v>194</v>
      </c>
      <c r="E239" t="s">
        <v>195</v>
      </c>
      <c r="F239" s="1">
        <v>1.2731481481481482E-5</v>
      </c>
      <c r="G239" t="s">
        <v>16</v>
      </c>
      <c r="H239">
        <v>2</v>
      </c>
      <c r="I239">
        <v>94</v>
      </c>
      <c r="J239">
        <v>96</v>
      </c>
      <c r="L239" t="s">
        <v>17</v>
      </c>
      <c r="M239" s="3">
        <f t="shared" si="30"/>
        <v>1.1390000581741333</v>
      </c>
    </row>
    <row r="240" spans="1:13" x14ac:dyDescent="0.25">
      <c r="A240" t="s">
        <v>139</v>
      </c>
      <c r="B240">
        <v>9</v>
      </c>
      <c r="C240" t="s">
        <v>57</v>
      </c>
      <c r="D240" t="s">
        <v>196</v>
      </c>
      <c r="E240" t="s">
        <v>197</v>
      </c>
      <c r="F240" s="1">
        <v>1.3888888888888888E-5</v>
      </c>
      <c r="G240" t="s">
        <v>16</v>
      </c>
      <c r="H240">
        <v>2</v>
      </c>
      <c r="I240">
        <v>94</v>
      </c>
      <c r="J240">
        <v>96</v>
      </c>
      <c r="L240" t="s">
        <v>17</v>
      </c>
      <c r="M240" s="3">
        <f t="shared" si="30"/>
        <v>1.1999997776001692</v>
      </c>
    </row>
    <row r="241" spans="1:13" x14ac:dyDescent="0.25">
      <c r="A241" t="s">
        <v>139</v>
      </c>
      <c r="B241">
        <v>10</v>
      </c>
      <c r="C241" t="s">
        <v>57</v>
      </c>
      <c r="D241" t="s">
        <v>198</v>
      </c>
      <c r="E241" t="s">
        <v>199</v>
      </c>
      <c r="F241" s="1">
        <v>1.3888888888888888E-5</v>
      </c>
      <c r="G241" t="s">
        <v>16</v>
      </c>
      <c r="H241">
        <v>2</v>
      </c>
      <c r="I241">
        <v>94</v>
      </c>
      <c r="J241">
        <v>96</v>
      </c>
      <c r="L241" t="s">
        <v>17</v>
      </c>
      <c r="M241" s="3">
        <f t="shared" si="30"/>
        <v>1.2439997401088476</v>
      </c>
    </row>
    <row r="242" spans="1:13" x14ac:dyDescent="0.25">
      <c r="A242" t="s">
        <v>200</v>
      </c>
      <c r="B242">
        <v>1</v>
      </c>
      <c r="C242" t="s">
        <v>13</v>
      </c>
      <c r="D242" t="s">
        <v>201</v>
      </c>
      <c r="E242" t="s">
        <v>202</v>
      </c>
      <c r="F242" s="1">
        <v>1.5046296296296297E-5</v>
      </c>
      <c r="G242" t="s">
        <v>16</v>
      </c>
      <c r="H242">
        <v>3</v>
      </c>
      <c r="I242">
        <v>67</v>
      </c>
      <c r="J242">
        <v>70</v>
      </c>
      <c r="L242" t="s">
        <v>17</v>
      </c>
      <c r="M242" s="3">
        <f t="shared" si="30"/>
        <v>1.3090001419186592</v>
      </c>
    </row>
    <row r="243" spans="1:13" x14ac:dyDescent="0.25">
      <c r="A243" t="s">
        <v>200</v>
      </c>
      <c r="B243">
        <v>2</v>
      </c>
      <c r="C243" t="s">
        <v>13</v>
      </c>
      <c r="D243" t="s">
        <v>203</v>
      </c>
      <c r="E243" t="s">
        <v>204</v>
      </c>
      <c r="F243" s="1">
        <v>1.9675925925925925E-5</v>
      </c>
      <c r="G243" t="s">
        <v>16</v>
      </c>
      <c r="H243">
        <v>3</v>
      </c>
      <c r="I243">
        <v>67</v>
      </c>
      <c r="J243">
        <v>70</v>
      </c>
      <c r="L243" t="s">
        <v>17</v>
      </c>
      <c r="M243" s="3">
        <f t="shared" si="30"/>
        <v>1.6829998232424259</v>
      </c>
    </row>
    <row r="244" spans="1:13" x14ac:dyDescent="0.25">
      <c r="A244" t="s">
        <v>200</v>
      </c>
      <c r="B244">
        <v>3</v>
      </c>
      <c r="C244" t="s">
        <v>13</v>
      </c>
      <c r="D244" t="s">
        <v>205</v>
      </c>
      <c r="E244" t="s">
        <v>206</v>
      </c>
      <c r="F244" s="1">
        <v>1.5046296296296297E-5</v>
      </c>
      <c r="G244" t="s">
        <v>16</v>
      </c>
      <c r="H244">
        <v>3</v>
      </c>
      <c r="I244">
        <v>67</v>
      </c>
      <c r="J244">
        <v>70</v>
      </c>
      <c r="L244" t="s">
        <v>17</v>
      </c>
      <c r="M244" s="3">
        <f t="shared" si="30"/>
        <v>1.28500044811517</v>
      </c>
    </row>
    <row r="245" spans="1:13" x14ac:dyDescent="0.25">
      <c r="A245" t="s">
        <v>200</v>
      </c>
      <c r="B245">
        <v>4</v>
      </c>
      <c r="C245" t="s">
        <v>13</v>
      </c>
      <c r="D245" t="s">
        <v>207</v>
      </c>
      <c r="E245" t="s">
        <v>208</v>
      </c>
      <c r="F245" s="1">
        <v>2.0833333333333333E-5</v>
      </c>
      <c r="G245" t="s">
        <v>16</v>
      </c>
      <c r="H245">
        <v>3</v>
      </c>
      <c r="I245">
        <v>67</v>
      </c>
      <c r="J245">
        <v>70</v>
      </c>
      <c r="L245" t="s">
        <v>17</v>
      </c>
      <c r="M245" s="3">
        <f t="shared" si="30"/>
        <v>1.763999811373651</v>
      </c>
    </row>
    <row r="246" spans="1:13" x14ac:dyDescent="0.25">
      <c r="A246" t="s">
        <v>200</v>
      </c>
      <c r="B246">
        <v>5</v>
      </c>
      <c r="C246" t="s">
        <v>13</v>
      </c>
      <c r="D246" t="s">
        <v>209</v>
      </c>
      <c r="E246" t="s">
        <v>210</v>
      </c>
      <c r="F246" s="1">
        <v>1.8518518518518518E-5</v>
      </c>
      <c r="G246" t="s">
        <v>16</v>
      </c>
      <c r="H246">
        <v>3</v>
      </c>
      <c r="I246">
        <v>67</v>
      </c>
      <c r="J246">
        <v>70</v>
      </c>
      <c r="L246" t="s">
        <v>17</v>
      </c>
      <c r="M246" s="3">
        <f t="shared" si="30"/>
        <v>1.5850000781938434</v>
      </c>
    </row>
    <row r="247" spans="1:13" x14ac:dyDescent="0.25">
      <c r="A247" t="s">
        <v>200</v>
      </c>
      <c r="B247">
        <v>6</v>
      </c>
      <c r="C247" t="s">
        <v>13</v>
      </c>
      <c r="D247" t="s">
        <v>211</v>
      </c>
      <c r="E247" t="s">
        <v>212</v>
      </c>
      <c r="F247" s="1">
        <v>1.5046296296296297E-5</v>
      </c>
      <c r="G247" t="s">
        <v>16</v>
      </c>
      <c r="H247">
        <v>3</v>
      </c>
      <c r="I247">
        <v>67</v>
      </c>
      <c r="J247">
        <v>70</v>
      </c>
      <c r="L247" t="s">
        <v>17</v>
      </c>
      <c r="M247" s="3">
        <f t="shared" si="30"/>
        <v>1.28700016066432</v>
      </c>
    </row>
    <row r="248" spans="1:13" x14ac:dyDescent="0.25">
      <c r="A248" t="s">
        <v>200</v>
      </c>
      <c r="B248">
        <v>7</v>
      </c>
      <c r="C248" t="s">
        <v>13</v>
      </c>
      <c r="D248" t="s">
        <v>213</v>
      </c>
      <c r="E248" t="s">
        <v>214</v>
      </c>
      <c r="F248" s="1">
        <v>1.9675925925925925E-5</v>
      </c>
      <c r="G248" t="s">
        <v>16</v>
      </c>
      <c r="H248">
        <v>3</v>
      </c>
      <c r="I248">
        <v>67</v>
      </c>
      <c r="J248">
        <v>70</v>
      </c>
      <c r="L248" t="s">
        <v>17</v>
      </c>
      <c r="M248" s="3">
        <f t="shared" si="30"/>
        <v>1.6700001200661063</v>
      </c>
    </row>
    <row r="249" spans="1:13" x14ac:dyDescent="0.25">
      <c r="A249" t="s">
        <v>200</v>
      </c>
      <c r="B249">
        <v>8</v>
      </c>
      <c r="C249" t="s">
        <v>13</v>
      </c>
      <c r="D249" t="s">
        <v>215</v>
      </c>
      <c r="E249" t="s">
        <v>216</v>
      </c>
      <c r="F249" s="1">
        <v>1.5046296296296297E-5</v>
      </c>
      <c r="G249" t="s">
        <v>16</v>
      </c>
      <c r="H249">
        <v>3</v>
      </c>
      <c r="I249">
        <v>67</v>
      </c>
      <c r="J249">
        <v>70</v>
      </c>
      <c r="L249" t="s">
        <v>17</v>
      </c>
      <c r="M249" s="3">
        <f t="shared" si="30"/>
        <v>1.3020002050325274</v>
      </c>
    </row>
    <row r="250" spans="1:13" x14ac:dyDescent="0.25">
      <c r="A250" t="s">
        <v>200</v>
      </c>
      <c r="B250">
        <v>9</v>
      </c>
      <c r="C250" t="s">
        <v>13</v>
      </c>
      <c r="D250" t="s">
        <v>217</v>
      </c>
      <c r="E250" t="s">
        <v>218</v>
      </c>
      <c r="F250" s="1">
        <v>1.3888888888888888E-5</v>
      </c>
      <c r="G250" t="s">
        <v>16</v>
      </c>
      <c r="H250">
        <v>3</v>
      </c>
      <c r="I250">
        <v>67</v>
      </c>
      <c r="J250">
        <v>70</v>
      </c>
      <c r="L250" t="s">
        <v>17</v>
      </c>
      <c r="M250" s="3">
        <f t="shared" si="30"/>
        <v>1.2460000813007355</v>
      </c>
    </row>
    <row r="251" spans="1:13" x14ac:dyDescent="0.25">
      <c r="A251" t="s">
        <v>200</v>
      </c>
      <c r="B251">
        <v>10</v>
      </c>
      <c r="C251" t="s">
        <v>13</v>
      </c>
      <c r="D251" t="s">
        <v>219</v>
      </c>
      <c r="E251" t="s">
        <v>220</v>
      </c>
      <c r="F251" s="1">
        <v>1.6203703703703704E-5</v>
      </c>
      <c r="G251" t="s">
        <v>16</v>
      </c>
      <c r="H251">
        <v>3</v>
      </c>
      <c r="I251">
        <v>67</v>
      </c>
      <c r="J251">
        <v>70</v>
      </c>
      <c r="L251" t="s">
        <v>17</v>
      </c>
      <c r="M251" s="3">
        <f t="shared" si="30"/>
        <v>1.3589998707175255</v>
      </c>
    </row>
    <row r="252" spans="1:13" x14ac:dyDescent="0.25">
      <c r="A252" t="s">
        <v>200</v>
      </c>
      <c r="B252">
        <v>1</v>
      </c>
      <c r="C252" t="s">
        <v>36</v>
      </c>
      <c r="D252" t="s">
        <v>221</v>
      </c>
      <c r="E252" t="s">
        <v>222</v>
      </c>
      <c r="F252" s="1">
        <v>1.6203703703703704E-5</v>
      </c>
      <c r="G252" t="s">
        <v>16</v>
      </c>
      <c r="H252">
        <v>3</v>
      </c>
      <c r="I252">
        <v>139</v>
      </c>
      <c r="J252">
        <v>142</v>
      </c>
      <c r="L252" t="s">
        <v>17</v>
      </c>
      <c r="M252" s="3">
        <f t="shared" si="30"/>
        <v>1.4169997069984674</v>
      </c>
    </row>
    <row r="253" spans="1:13" x14ac:dyDescent="0.25">
      <c r="A253" t="s">
        <v>200</v>
      </c>
      <c r="B253">
        <v>2</v>
      </c>
      <c r="C253" t="s">
        <v>36</v>
      </c>
      <c r="D253" t="s">
        <v>223</v>
      </c>
      <c r="E253" t="s">
        <v>224</v>
      </c>
      <c r="F253" s="1">
        <v>1.5046296296296297E-5</v>
      </c>
      <c r="G253" t="s">
        <v>16</v>
      </c>
      <c r="H253">
        <v>3</v>
      </c>
      <c r="I253">
        <v>139</v>
      </c>
      <c r="J253">
        <v>142</v>
      </c>
      <c r="L253" t="s">
        <v>17</v>
      </c>
      <c r="M253" s="3">
        <f t="shared" si="30"/>
        <v>1.3440004549920559</v>
      </c>
    </row>
    <row r="254" spans="1:13" x14ac:dyDescent="0.25">
      <c r="A254" t="s">
        <v>200</v>
      </c>
      <c r="B254">
        <v>3</v>
      </c>
      <c r="C254" t="s">
        <v>36</v>
      </c>
      <c r="D254" t="s">
        <v>225</v>
      </c>
      <c r="E254" t="s">
        <v>226</v>
      </c>
      <c r="F254" s="1">
        <v>1.5046296296296297E-5</v>
      </c>
      <c r="G254" t="s">
        <v>16</v>
      </c>
      <c r="H254">
        <v>3</v>
      </c>
      <c r="I254">
        <v>139</v>
      </c>
      <c r="J254">
        <v>142</v>
      </c>
      <c r="L254" t="s">
        <v>17</v>
      </c>
      <c r="M254" s="3">
        <f t="shared" si="30"/>
        <v>1.2680000625550747</v>
      </c>
    </row>
    <row r="255" spans="1:13" x14ac:dyDescent="0.25">
      <c r="A255" t="s">
        <v>200</v>
      </c>
      <c r="B255">
        <v>4</v>
      </c>
      <c r="C255" t="s">
        <v>36</v>
      </c>
      <c r="D255" t="s">
        <v>227</v>
      </c>
      <c r="E255" t="s">
        <v>228</v>
      </c>
      <c r="F255" s="1">
        <v>2.199074074074074E-5</v>
      </c>
      <c r="G255" t="s">
        <v>16</v>
      </c>
      <c r="H255">
        <v>3</v>
      </c>
      <c r="I255">
        <v>139</v>
      </c>
      <c r="J255">
        <v>142</v>
      </c>
      <c r="L255" t="s">
        <v>17</v>
      </c>
      <c r="M255" s="3">
        <f t="shared" si="30"/>
        <v>1.934999437071383</v>
      </c>
    </row>
    <row r="256" spans="1:13" x14ac:dyDescent="0.25">
      <c r="A256" t="s">
        <v>200</v>
      </c>
      <c r="B256">
        <v>5</v>
      </c>
      <c r="C256" t="s">
        <v>36</v>
      </c>
      <c r="D256" t="s">
        <v>229</v>
      </c>
      <c r="E256" t="s">
        <v>230</v>
      </c>
      <c r="F256" s="1">
        <v>1.5046296296296297E-5</v>
      </c>
      <c r="G256" t="s">
        <v>16</v>
      </c>
      <c r="H256">
        <v>3</v>
      </c>
      <c r="I256">
        <v>139</v>
      </c>
      <c r="J256">
        <v>142</v>
      </c>
      <c r="L256" t="s">
        <v>17</v>
      </c>
      <c r="M256" s="3">
        <f t="shared" si="30"/>
        <v>1.3240001862868667</v>
      </c>
    </row>
    <row r="257" spans="1:13" x14ac:dyDescent="0.25">
      <c r="A257" t="s">
        <v>200</v>
      </c>
      <c r="B257">
        <v>6</v>
      </c>
      <c r="C257" t="s">
        <v>36</v>
      </c>
      <c r="D257" t="s">
        <v>231</v>
      </c>
      <c r="E257" t="s">
        <v>232</v>
      </c>
      <c r="F257" s="1">
        <v>1.3888888888888888E-5</v>
      </c>
      <c r="G257" t="s">
        <v>16</v>
      </c>
      <c r="H257">
        <v>3</v>
      </c>
      <c r="I257">
        <v>139</v>
      </c>
      <c r="J257">
        <v>142</v>
      </c>
      <c r="L257" t="s">
        <v>17</v>
      </c>
      <c r="M257" s="3">
        <f t="shared" si="30"/>
        <v>1.2060001725330949</v>
      </c>
    </row>
    <row r="258" spans="1:13" x14ac:dyDescent="0.25">
      <c r="A258" t="s">
        <v>200</v>
      </c>
      <c r="B258">
        <v>7</v>
      </c>
      <c r="C258" t="s">
        <v>36</v>
      </c>
      <c r="D258" t="s">
        <v>233</v>
      </c>
      <c r="E258" t="s">
        <v>234</v>
      </c>
      <c r="F258" s="1">
        <v>1.7361111111111111E-5</v>
      </c>
      <c r="G258" t="s">
        <v>16</v>
      </c>
      <c r="H258">
        <v>3</v>
      </c>
      <c r="I258">
        <v>139</v>
      </c>
      <c r="J258">
        <v>142</v>
      </c>
      <c r="L258" t="s">
        <v>17</v>
      </c>
      <c r="M258" s="3">
        <f t="shared" si="30"/>
        <v>1.4860001625493169</v>
      </c>
    </row>
    <row r="259" spans="1:13" x14ac:dyDescent="0.25">
      <c r="A259" t="s">
        <v>200</v>
      </c>
      <c r="B259">
        <v>8</v>
      </c>
      <c r="C259" t="s">
        <v>36</v>
      </c>
      <c r="D259" t="s">
        <v>235</v>
      </c>
      <c r="E259" t="s">
        <v>236</v>
      </c>
      <c r="F259" s="1">
        <v>2.6620370370370369E-5</v>
      </c>
      <c r="G259" t="s">
        <v>16</v>
      </c>
      <c r="H259">
        <v>3</v>
      </c>
      <c r="I259">
        <v>139</v>
      </c>
      <c r="J259">
        <v>142</v>
      </c>
      <c r="L259" t="s">
        <v>17</v>
      </c>
      <c r="M259" s="3">
        <f t="shared" ref="M259:M301" si="31">(SUBSTITUTE(LEFT(E259,23),"T"," ")-SUBSTITUTE(LEFT(D259,23),"T"," "))*86400</f>
        <v>2.296000043861568</v>
      </c>
    </row>
    <row r="260" spans="1:13" x14ac:dyDescent="0.25">
      <c r="A260" t="s">
        <v>200</v>
      </c>
      <c r="B260">
        <v>9</v>
      </c>
      <c r="C260" t="s">
        <v>36</v>
      </c>
      <c r="D260" t="s">
        <v>237</v>
      </c>
      <c r="E260" t="s">
        <v>238</v>
      </c>
      <c r="F260" s="1">
        <v>1.5046296296296297E-5</v>
      </c>
      <c r="G260" t="s">
        <v>16</v>
      </c>
      <c r="H260">
        <v>3</v>
      </c>
      <c r="I260">
        <v>139</v>
      </c>
      <c r="J260">
        <v>142</v>
      </c>
      <c r="L260" t="s">
        <v>17</v>
      </c>
      <c r="M260" s="3">
        <f t="shared" si="31"/>
        <v>1.3090001419186592</v>
      </c>
    </row>
    <row r="261" spans="1:13" x14ac:dyDescent="0.25">
      <c r="A261" t="s">
        <v>200</v>
      </c>
      <c r="B261">
        <v>10</v>
      </c>
      <c r="C261" t="s">
        <v>36</v>
      </c>
      <c r="D261" t="s">
        <v>239</v>
      </c>
      <c r="E261" t="s">
        <v>240</v>
      </c>
      <c r="F261" s="1">
        <v>1.5046296296296297E-5</v>
      </c>
      <c r="G261" t="s">
        <v>16</v>
      </c>
      <c r="H261">
        <v>3</v>
      </c>
      <c r="I261">
        <v>139</v>
      </c>
      <c r="J261">
        <v>142</v>
      </c>
      <c r="L261" t="s">
        <v>17</v>
      </c>
      <c r="M261" s="3">
        <f t="shared" si="31"/>
        <v>1.3440004549920559</v>
      </c>
    </row>
    <row r="262" spans="1:13" x14ac:dyDescent="0.25">
      <c r="A262" t="s">
        <v>200</v>
      </c>
      <c r="B262">
        <v>1</v>
      </c>
      <c r="C262" t="s">
        <v>57</v>
      </c>
      <c r="D262" t="s">
        <v>241</v>
      </c>
      <c r="E262" t="s">
        <v>242</v>
      </c>
      <c r="F262" s="1">
        <v>1.3888888888888888E-5</v>
      </c>
      <c r="G262" t="s">
        <v>16</v>
      </c>
      <c r="H262">
        <v>3</v>
      </c>
      <c r="I262">
        <v>101</v>
      </c>
      <c r="J262">
        <v>104</v>
      </c>
      <c r="L262" t="s">
        <v>17</v>
      </c>
      <c r="M262" s="3">
        <f t="shared" si="31"/>
        <v>1.2469996232539415</v>
      </c>
    </row>
    <row r="263" spans="1:13" x14ac:dyDescent="0.25">
      <c r="A263" t="s">
        <v>200</v>
      </c>
      <c r="B263">
        <v>2</v>
      </c>
      <c r="C263" t="s">
        <v>57</v>
      </c>
      <c r="D263" t="s">
        <v>243</v>
      </c>
      <c r="E263" t="s">
        <v>244</v>
      </c>
      <c r="F263" s="1">
        <v>2.3148148148148147E-5</v>
      </c>
      <c r="G263" t="s">
        <v>16</v>
      </c>
      <c r="H263">
        <v>3</v>
      </c>
      <c r="I263">
        <v>101</v>
      </c>
      <c r="J263">
        <v>104</v>
      </c>
      <c r="L263" t="s">
        <v>17</v>
      </c>
      <c r="M263" s="3">
        <f t="shared" si="31"/>
        <v>1.988999848254025</v>
      </c>
    </row>
    <row r="264" spans="1:13" x14ac:dyDescent="0.25">
      <c r="A264" t="s">
        <v>200</v>
      </c>
      <c r="B264">
        <v>3</v>
      </c>
      <c r="C264" t="s">
        <v>57</v>
      </c>
      <c r="D264" t="s">
        <v>245</v>
      </c>
      <c r="E264" t="s">
        <v>246</v>
      </c>
      <c r="F264" s="1">
        <v>1.2731481481481482E-5</v>
      </c>
      <c r="G264" t="s">
        <v>16</v>
      </c>
      <c r="H264">
        <v>3</v>
      </c>
      <c r="I264">
        <v>101</v>
      </c>
      <c r="J264">
        <v>104</v>
      </c>
      <c r="L264" t="s">
        <v>17</v>
      </c>
      <c r="M264" s="3">
        <f t="shared" si="31"/>
        <v>1.1139995651319623</v>
      </c>
    </row>
    <row r="265" spans="1:13" x14ac:dyDescent="0.25">
      <c r="A265" t="s">
        <v>200</v>
      </c>
      <c r="B265">
        <v>4</v>
      </c>
      <c r="C265" t="s">
        <v>57</v>
      </c>
      <c r="D265" t="s">
        <v>247</v>
      </c>
      <c r="E265" t="s">
        <v>248</v>
      </c>
      <c r="F265" s="1">
        <v>1.6203703703703704E-5</v>
      </c>
      <c r="G265" t="s">
        <v>16</v>
      </c>
      <c r="H265">
        <v>3</v>
      </c>
      <c r="I265">
        <v>101</v>
      </c>
      <c r="J265">
        <v>104</v>
      </c>
      <c r="L265" t="s">
        <v>17</v>
      </c>
      <c r="M265" s="3">
        <f t="shared" si="31"/>
        <v>1.3920004712417722</v>
      </c>
    </row>
    <row r="266" spans="1:13" x14ac:dyDescent="0.25">
      <c r="A266" t="s">
        <v>200</v>
      </c>
      <c r="B266">
        <v>5</v>
      </c>
      <c r="C266" t="s">
        <v>57</v>
      </c>
      <c r="D266" t="s">
        <v>249</v>
      </c>
      <c r="E266" t="s">
        <v>250</v>
      </c>
      <c r="F266" s="1">
        <v>1.6203703703703704E-5</v>
      </c>
      <c r="G266" t="s">
        <v>16</v>
      </c>
      <c r="H266">
        <v>3</v>
      </c>
      <c r="I266">
        <v>101</v>
      </c>
      <c r="J266">
        <v>104</v>
      </c>
      <c r="L266" t="s">
        <v>17</v>
      </c>
      <c r="M266" s="3">
        <f t="shared" si="31"/>
        <v>1.4450000831857324</v>
      </c>
    </row>
    <row r="267" spans="1:13" x14ac:dyDescent="0.25">
      <c r="A267" t="s">
        <v>200</v>
      </c>
      <c r="B267">
        <v>6</v>
      </c>
      <c r="C267" t="s">
        <v>57</v>
      </c>
      <c r="D267" t="s">
        <v>251</v>
      </c>
      <c r="E267" t="s">
        <v>252</v>
      </c>
      <c r="F267" s="1">
        <v>1.3888888888888888E-5</v>
      </c>
      <c r="G267" t="s">
        <v>16</v>
      </c>
      <c r="H267">
        <v>3</v>
      </c>
      <c r="I267">
        <v>101</v>
      </c>
      <c r="J267">
        <v>104</v>
      </c>
      <c r="L267" t="s">
        <v>17</v>
      </c>
      <c r="M267" s="3">
        <f t="shared" si="31"/>
        <v>1.1899999575689435</v>
      </c>
    </row>
    <row r="268" spans="1:13" x14ac:dyDescent="0.25">
      <c r="A268" t="s">
        <v>200</v>
      </c>
      <c r="B268">
        <v>7</v>
      </c>
      <c r="C268" t="s">
        <v>57</v>
      </c>
      <c r="D268" t="s">
        <v>253</v>
      </c>
      <c r="E268" t="s">
        <v>254</v>
      </c>
      <c r="F268" s="1">
        <v>1.7361111111111111E-5</v>
      </c>
      <c r="G268" t="s">
        <v>16</v>
      </c>
      <c r="H268">
        <v>3</v>
      </c>
      <c r="I268">
        <v>101</v>
      </c>
      <c r="J268">
        <v>104</v>
      </c>
      <c r="L268" t="s">
        <v>17</v>
      </c>
      <c r="M268" s="3">
        <f t="shared" si="31"/>
        <v>1.4940002700313926</v>
      </c>
    </row>
    <row r="269" spans="1:13" x14ac:dyDescent="0.25">
      <c r="A269" t="s">
        <v>200</v>
      </c>
      <c r="B269">
        <v>8</v>
      </c>
      <c r="C269" t="s">
        <v>57</v>
      </c>
      <c r="D269" t="s">
        <v>255</v>
      </c>
      <c r="E269" t="s">
        <v>256</v>
      </c>
      <c r="F269" s="1">
        <v>1.8518518518518518E-5</v>
      </c>
      <c r="G269" t="s">
        <v>16</v>
      </c>
      <c r="H269">
        <v>3</v>
      </c>
      <c r="I269">
        <v>101</v>
      </c>
      <c r="J269">
        <v>104</v>
      </c>
      <c r="L269" t="s">
        <v>17</v>
      </c>
      <c r="M269" s="3">
        <f t="shared" si="31"/>
        <v>1.5980004100129008</v>
      </c>
    </row>
    <row r="270" spans="1:13" x14ac:dyDescent="0.25">
      <c r="A270" t="s">
        <v>200</v>
      </c>
      <c r="B270">
        <v>9</v>
      </c>
      <c r="C270" t="s">
        <v>57</v>
      </c>
      <c r="D270" t="s">
        <v>257</v>
      </c>
      <c r="E270" t="s">
        <v>258</v>
      </c>
      <c r="F270" s="1">
        <v>1.5046296296296297E-5</v>
      </c>
      <c r="G270" t="s">
        <v>16</v>
      </c>
      <c r="H270">
        <v>3</v>
      </c>
      <c r="I270">
        <v>101</v>
      </c>
      <c r="J270">
        <v>104</v>
      </c>
      <c r="L270" t="s">
        <v>17</v>
      </c>
      <c r="M270" s="3">
        <f t="shared" si="31"/>
        <v>1.2819999363273382</v>
      </c>
    </row>
    <row r="271" spans="1:13" x14ac:dyDescent="0.25">
      <c r="A271" t="s">
        <v>200</v>
      </c>
      <c r="B271">
        <v>10</v>
      </c>
      <c r="C271" t="s">
        <v>57</v>
      </c>
      <c r="D271" t="s">
        <v>259</v>
      </c>
      <c r="E271" t="s">
        <v>260</v>
      </c>
      <c r="F271" s="1">
        <v>2.6620370370370369E-5</v>
      </c>
      <c r="G271" t="s">
        <v>16</v>
      </c>
      <c r="H271">
        <v>3</v>
      </c>
      <c r="I271">
        <v>101</v>
      </c>
      <c r="J271">
        <v>104</v>
      </c>
      <c r="L271" t="s">
        <v>17</v>
      </c>
      <c r="M271" s="3">
        <f t="shared" si="31"/>
        <v>2.0270000444725156</v>
      </c>
    </row>
    <row r="272" spans="1:13" x14ac:dyDescent="0.25">
      <c r="A272" t="s">
        <v>261</v>
      </c>
      <c r="B272">
        <v>1</v>
      </c>
      <c r="C272" t="s">
        <v>13</v>
      </c>
      <c r="D272" t="s">
        <v>262</v>
      </c>
      <c r="E272" t="s">
        <v>263</v>
      </c>
      <c r="F272" s="1">
        <v>2.6620370370370369E-5</v>
      </c>
      <c r="G272" t="s">
        <v>16</v>
      </c>
      <c r="H272">
        <v>3</v>
      </c>
      <c r="I272">
        <v>91</v>
      </c>
      <c r="J272">
        <v>94</v>
      </c>
      <c r="L272" t="s">
        <v>17</v>
      </c>
      <c r="M272" s="3">
        <f t="shared" si="31"/>
        <v>2.0309994695708156</v>
      </c>
    </row>
    <row r="273" spans="1:13" x14ac:dyDescent="0.25">
      <c r="A273" t="s">
        <v>261</v>
      </c>
      <c r="B273">
        <v>2</v>
      </c>
      <c r="C273" t="s">
        <v>13</v>
      </c>
      <c r="D273" t="s">
        <v>264</v>
      </c>
      <c r="E273" t="s">
        <v>265</v>
      </c>
      <c r="F273" s="1">
        <v>1.9675925925925925E-5</v>
      </c>
      <c r="G273" t="s">
        <v>16</v>
      </c>
      <c r="H273">
        <v>3</v>
      </c>
      <c r="I273">
        <v>91</v>
      </c>
      <c r="J273">
        <v>94</v>
      </c>
      <c r="L273" t="s">
        <v>17</v>
      </c>
      <c r="M273" s="3">
        <f t="shared" si="31"/>
        <v>1.7380004050210118</v>
      </c>
    </row>
    <row r="274" spans="1:13" x14ac:dyDescent="0.25">
      <c r="A274" t="s">
        <v>261</v>
      </c>
      <c r="B274">
        <v>3</v>
      </c>
      <c r="C274" t="s">
        <v>13</v>
      </c>
      <c r="D274" t="s">
        <v>266</v>
      </c>
      <c r="E274" t="s">
        <v>267</v>
      </c>
      <c r="F274" s="1">
        <v>1.9675925925925925E-5</v>
      </c>
      <c r="G274" t="s">
        <v>16</v>
      </c>
      <c r="H274">
        <v>3</v>
      </c>
      <c r="I274">
        <v>91</v>
      </c>
      <c r="J274">
        <v>94</v>
      </c>
      <c r="L274" t="s">
        <v>17</v>
      </c>
      <c r="M274" s="3">
        <f t="shared" si="31"/>
        <v>1.7330001806840301</v>
      </c>
    </row>
    <row r="275" spans="1:13" x14ac:dyDescent="0.25">
      <c r="A275" t="s">
        <v>261</v>
      </c>
      <c r="B275">
        <v>4</v>
      </c>
      <c r="C275" t="s">
        <v>13</v>
      </c>
      <c r="D275" t="s">
        <v>268</v>
      </c>
      <c r="E275" t="s">
        <v>269</v>
      </c>
      <c r="F275" s="1">
        <v>3.2407407407407408E-5</v>
      </c>
      <c r="G275" t="s">
        <v>16</v>
      </c>
      <c r="H275">
        <v>3</v>
      </c>
      <c r="I275">
        <v>91</v>
      </c>
      <c r="J275">
        <v>94</v>
      </c>
      <c r="L275" t="s">
        <v>17</v>
      </c>
      <c r="M275" s="3">
        <f t="shared" si="31"/>
        <v>2.0829995395615697</v>
      </c>
    </row>
    <row r="276" spans="1:13" x14ac:dyDescent="0.25">
      <c r="A276" t="s">
        <v>261</v>
      </c>
      <c r="B276">
        <v>5</v>
      </c>
      <c r="C276" t="s">
        <v>13</v>
      </c>
      <c r="D276" t="s">
        <v>270</v>
      </c>
      <c r="E276" t="s">
        <v>271</v>
      </c>
      <c r="F276" s="1">
        <v>1.9675925925925925E-5</v>
      </c>
      <c r="G276" t="s">
        <v>16</v>
      </c>
      <c r="H276">
        <v>3</v>
      </c>
      <c r="I276">
        <v>91</v>
      </c>
      <c r="J276">
        <v>94</v>
      </c>
      <c r="L276" t="s">
        <v>17</v>
      </c>
      <c r="M276" s="3">
        <f t="shared" si="31"/>
        <v>1.7320000100880861</v>
      </c>
    </row>
    <row r="277" spans="1:13" x14ac:dyDescent="0.25">
      <c r="A277" t="s">
        <v>261</v>
      </c>
      <c r="B277">
        <v>6</v>
      </c>
      <c r="C277" t="s">
        <v>13</v>
      </c>
      <c r="D277" t="s">
        <v>272</v>
      </c>
      <c r="E277" t="s">
        <v>273</v>
      </c>
      <c r="F277" s="1">
        <v>2.0833333333333333E-5</v>
      </c>
      <c r="G277" t="s">
        <v>16</v>
      </c>
      <c r="H277">
        <v>3</v>
      </c>
      <c r="I277">
        <v>91</v>
      </c>
      <c r="J277">
        <v>94</v>
      </c>
      <c r="L277" t="s">
        <v>17</v>
      </c>
      <c r="M277" s="3">
        <f t="shared" si="31"/>
        <v>1.7679998651146889</v>
      </c>
    </row>
    <row r="278" spans="1:13" x14ac:dyDescent="0.25">
      <c r="A278" t="s">
        <v>261</v>
      </c>
      <c r="B278">
        <v>7</v>
      </c>
      <c r="C278" t="s">
        <v>13</v>
      </c>
      <c r="D278" t="s">
        <v>274</v>
      </c>
      <c r="E278" t="s">
        <v>275</v>
      </c>
      <c r="F278" s="1">
        <v>2.199074074074074E-5</v>
      </c>
      <c r="G278" t="s">
        <v>16</v>
      </c>
      <c r="H278">
        <v>3</v>
      </c>
      <c r="I278">
        <v>91</v>
      </c>
      <c r="J278">
        <v>94</v>
      </c>
      <c r="L278" t="s">
        <v>17</v>
      </c>
      <c r="M278" s="3">
        <f t="shared" si="31"/>
        <v>1.9429995445534587</v>
      </c>
    </row>
    <row r="279" spans="1:13" x14ac:dyDescent="0.25">
      <c r="A279" t="s">
        <v>261</v>
      </c>
      <c r="B279">
        <v>8</v>
      </c>
      <c r="C279" t="s">
        <v>13</v>
      </c>
      <c r="D279" t="s">
        <v>276</v>
      </c>
      <c r="E279" t="s">
        <v>277</v>
      </c>
      <c r="F279" s="1">
        <v>3.1250000000000001E-5</v>
      </c>
      <c r="G279" t="s">
        <v>16</v>
      </c>
      <c r="H279">
        <v>3</v>
      </c>
      <c r="I279">
        <v>91</v>
      </c>
      <c r="J279">
        <v>94</v>
      </c>
      <c r="L279" t="s">
        <v>17</v>
      </c>
      <c r="M279" s="3">
        <f t="shared" si="31"/>
        <v>2.6840002276003361</v>
      </c>
    </row>
    <row r="280" spans="1:13" x14ac:dyDescent="0.25">
      <c r="A280" t="s">
        <v>261</v>
      </c>
      <c r="B280">
        <v>9</v>
      </c>
      <c r="C280" t="s">
        <v>13</v>
      </c>
      <c r="D280" t="s">
        <v>278</v>
      </c>
      <c r="E280" t="s">
        <v>279</v>
      </c>
      <c r="F280" s="1">
        <v>2.0833333333333333E-5</v>
      </c>
      <c r="G280" t="s">
        <v>16</v>
      </c>
      <c r="H280">
        <v>3</v>
      </c>
      <c r="I280">
        <v>91</v>
      </c>
      <c r="J280">
        <v>94</v>
      </c>
      <c r="L280" t="s">
        <v>17</v>
      </c>
      <c r="M280" s="3">
        <f t="shared" si="31"/>
        <v>1.8419999163597822</v>
      </c>
    </row>
    <row r="281" spans="1:13" x14ac:dyDescent="0.25">
      <c r="A281" t="s">
        <v>261</v>
      </c>
      <c r="B281">
        <v>10</v>
      </c>
      <c r="C281" t="s">
        <v>13</v>
      </c>
      <c r="D281" t="s">
        <v>280</v>
      </c>
      <c r="E281" t="s">
        <v>281</v>
      </c>
      <c r="F281" s="1">
        <v>2.3148148148148147E-5</v>
      </c>
      <c r="G281" t="s">
        <v>16</v>
      </c>
      <c r="H281">
        <v>3</v>
      </c>
      <c r="I281">
        <v>91</v>
      </c>
      <c r="J281">
        <v>94</v>
      </c>
      <c r="L281" t="s">
        <v>17</v>
      </c>
      <c r="M281" s="3">
        <f t="shared" si="31"/>
        <v>1.959999930113554</v>
      </c>
    </row>
    <row r="282" spans="1:13" x14ac:dyDescent="0.25">
      <c r="A282" t="s">
        <v>261</v>
      </c>
      <c r="B282">
        <v>1</v>
      </c>
      <c r="C282" t="s">
        <v>36</v>
      </c>
      <c r="D282" t="s">
        <v>282</v>
      </c>
      <c r="E282" t="s">
        <v>283</v>
      </c>
      <c r="F282" s="1">
        <v>2.0833333333333333E-5</v>
      </c>
      <c r="G282" t="s">
        <v>16</v>
      </c>
      <c r="H282">
        <v>3</v>
      </c>
      <c r="I282">
        <v>164</v>
      </c>
      <c r="J282">
        <v>167</v>
      </c>
      <c r="L282" t="s">
        <v>17</v>
      </c>
      <c r="M282" s="3">
        <f t="shared" si="31"/>
        <v>1.8390000332146883</v>
      </c>
    </row>
    <row r="283" spans="1:13" x14ac:dyDescent="0.25">
      <c r="A283" t="s">
        <v>261</v>
      </c>
      <c r="B283">
        <v>2</v>
      </c>
      <c r="C283" t="s">
        <v>36</v>
      </c>
      <c r="D283" t="s">
        <v>284</v>
      </c>
      <c r="E283" t="s">
        <v>285</v>
      </c>
      <c r="F283" s="1">
        <v>1.8518518518518518E-5</v>
      </c>
      <c r="G283" t="s">
        <v>16</v>
      </c>
      <c r="H283">
        <v>3</v>
      </c>
      <c r="I283">
        <v>164</v>
      </c>
      <c r="J283">
        <v>167</v>
      </c>
      <c r="L283" t="s">
        <v>17</v>
      </c>
      <c r="M283" s="3">
        <f t="shared" si="31"/>
        <v>1.6370001481845975</v>
      </c>
    </row>
    <row r="284" spans="1:13" x14ac:dyDescent="0.25">
      <c r="A284" t="s">
        <v>261</v>
      </c>
      <c r="B284">
        <v>3</v>
      </c>
      <c r="C284" t="s">
        <v>36</v>
      </c>
      <c r="D284" t="s">
        <v>286</v>
      </c>
      <c r="E284" t="s">
        <v>287</v>
      </c>
      <c r="F284" s="1">
        <v>1.9675925925925925E-5</v>
      </c>
      <c r="G284" t="s">
        <v>16</v>
      </c>
      <c r="H284">
        <v>3</v>
      </c>
      <c r="I284">
        <v>164</v>
      </c>
      <c r="J284">
        <v>167</v>
      </c>
      <c r="L284" t="s">
        <v>17</v>
      </c>
      <c r="M284" s="3">
        <f t="shared" si="31"/>
        <v>1.7040002625435591</v>
      </c>
    </row>
    <row r="285" spans="1:13" x14ac:dyDescent="0.25">
      <c r="A285" t="s">
        <v>261</v>
      </c>
      <c r="B285">
        <v>4</v>
      </c>
      <c r="C285" t="s">
        <v>36</v>
      </c>
      <c r="D285" t="s">
        <v>288</v>
      </c>
      <c r="E285" t="s">
        <v>289</v>
      </c>
      <c r="F285" s="1">
        <v>1.5046296296296297E-5</v>
      </c>
      <c r="G285" t="s">
        <v>16</v>
      </c>
      <c r="H285">
        <v>3</v>
      </c>
      <c r="I285">
        <v>164</v>
      </c>
      <c r="J285">
        <v>167</v>
      </c>
      <c r="L285" t="s">
        <v>17</v>
      </c>
      <c r="M285" s="3">
        <f t="shared" si="31"/>
        <v>1.2539995601400733</v>
      </c>
    </row>
    <row r="286" spans="1:13" x14ac:dyDescent="0.25">
      <c r="A286" t="s">
        <v>261</v>
      </c>
      <c r="B286">
        <v>5</v>
      </c>
      <c r="C286" t="s">
        <v>36</v>
      </c>
      <c r="D286" t="s">
        <v>290</v>
      </c>
      <c r="E286" t="s">
        <v>291</v>
      </c>
      <c r="F286" s="1">
        <v>1.3888888888888888E-5</v>
      </c>
      <c r="G286" t="s">
        <v>16</v>
      </c>
      <c r="H286">
        <v>3</v>
      </c>
      <c r="I286">
        <v>164</v>
      </c>
      <c r="J286">
        <v>167</v>
      </c>
      <c r="L286" t="s">
        <v>17</v>
      </c>
      <c r="M286" s="3">
        <f t="shared" si="31"/>
        <v>1.2189998757094145</v>
      </c>
    </row>
    <row r="287" spans="1:13" x14ac:dyDescent="0.25">
      <c r="A287" t="s">
        <v>261</v>
      </c>
      <c r="B287">
        <v>6</v>
      </c>
      <c r="C287" t="s">
        <v>36</v>
      </c>
      <c r="D287" t="s">
        <v>292</v>
      </c>
      <c r="E287" t="s">
        <v>293</v>
      </c>
      <c r="F287" s="1">
        <v>1.6203703703703704E-5</v>
      </c>
      <c r="G287" t="s">
        <v>16</v>
      </c>
      <c r="H287">
        <v>3</v>
      </c>
      <c r="I287">
        <v>164</v>
      </c>
      <c r="J287">
        <v>167</v>
      </c>
      <c r="L287" t="s">
        <v>17</v>
      </c>
      <c r="M287" s="3">
        <f t="shared" si="31"/>
        <v>1.4340000925585628</v>
      </c>
    </row>
    <row r="288" spans="1:13" x14ac:dyDescent="0.25">
      <c r="A288" t="s">
        <v>261</v>
      </c>
      <c r="B288">
        <v>7</v>
      </c>
      <c r="C288" t="s">
        <v>36</v>
      </c>
      <c r="D288" t="s">
        <v>294</v>
      </c>
      <c r="E288" t="s">
        <v>295</v>
      </c>
      <c r="F288" s="1">
        <v>2.0833333333333333E-5</v>
      </c>
      <c r="G288" t="s">
        <v>16</v>
      </c>
      <c r="H288">
        <v>3</v>
      </c>
      <c r="I288">
        <v>164</v>
      </c>
      <c r="J288">
        <v>167</v>
      </c>
      <c r="L288" t="s">
        <v>17</v>
      </c>
      <c r="M288" s="3">
        <f t="shared" si="31"/>
        <v>1.7800000263378024</v>
      </c>
    </row>
    <row r="289" spans="1:13" x14ac:dyDescent="0.25">
      <c r="A289" t="s">
        <v>261</v>
      </c>
      <c r="B289">
        <v>8</v>
      </c>
      <c r="C289" t="s">
        <v>36</v>
      </c>
      <c r="D289" t="s">
        <v>296</v>
      </c>
      <c r="E289" t="s">
        <v>297</v>
      </c>
      <c r="F289" s="1">
        <v>1.8518518518518518E-5</v>
      </c>
      <c r="G289" t="s">
        <v>16</v>
      </c>
      <c r="H289">
        <v>3</v>
      </c>
      <c r="I289">
        <v>164</v>
      </c>
      <c r="J289">
        <v>167</v>
      </c>
      <c r="L289" t="s">
        <v>17</v>
      </c>
      <c r="M289" s="3">
        <f t="shared" si="31"/>
        <v>1.5860002487897873</v>
      </c>
    </row>
    <row r="290" spans="1:13" x14ac:dyDescent="0.25">
      <c r="A290" t="s">
        <v>261</v>
      </c>
      <c r="B290">
        <v>9</v>
      </c>
      <c r="C290" t="s">
        <v>36</v>
      </c>
      <c r="D290" t="s">
        <v>298</v>
      </c>
      <c r="E290" t="s">
        <v>299</v>
      </c>
      <c r="F290" s="1">
        <v>1.3888888888888888E-5</v>
      </c>
      <c r="G290" t="s">
        <v>16</v>
      </c>
      <c r="H290">
        <v>3</v>
      </c>
      <c r="I290">
        <v>164</v>
      </c>
      <c r="J290">
        <v>167</v>
      </c>
      <c r="L290" t="s">
        <v>17</v>
      </c>
      <c r="M290" s="3">
        <f t="shared" si="31"/>
        <v>1.1999997776001692</v>
      </c>
    </row>
    <row r="291" spans="1:13" x14ac:dyDescent="0.25">
      <c r="A291" t="s">
        <v>261</v>
      </c>
      <c r="B291">
        <v>10</v>
      </c>
      <c r="C291" t="s">
        <v>36</v>
      </c>
      <c r="D291" t="s">
        <v>300</v>
      </c>
      <c r="E291" t="s">
        <v>301</v>
      </c>
      <c r="F291" s="1">
        <v>1.8518518518518518E-5</v>
      </c>
      <c r="G291" t="s">
        <v>16</v>
      </c>
      <c r="H291">
        <v>3</v>
      </c>
      <c r="I291">
        <v>164</v>
      </c>
      <c r="J291">
        <v>167</v>
      </c>
      <c r="L291" t="s">
        <v>17</v>
      </c>
      <c r="M291" s="3">
        <f t="shared" si="31"/>
        <v>1.5839999075978994</v>
      </c>
    </row>
    <row r="292" spans="1:13" x14ac:dyDescent="0.25">
      <c r="A292" t="s">
        <v>261</v>
      </c>
      <c r="B292">
        <v>1</v>
      </c>
      <c r="C292" t="s">
        <v>57</v>
      </c>
      <c r="D292" t="s">
        <v>302</v>
      </c>
      <c r="E292" t="s">
        <v>303</v>
      </c>
      <c r="F292" s="1">
        <v>1.7361111111111111E-5</v>
      </c>
      <c r="G292" t="s">
        <v>16</v>
      </c>
      <c r="H292">
        <v>3</v>
      </c>
      <c r="I292">
        <v>125</v>
      </c>
      <c r="J292">
        <v>128</v>
      </c>
      <c r="L292" t="s">
        <v>17</v>
      </c>
      <c r="M292" s="3">
        <f t="shared" si="31"/>
        <v>1.5189995057880878</v>
      </c>
    </row>
    <row r="293" spans="1:13" x14ac:dyDescent="0.25">
      <c r="A293" t="s">
        <v>261</v>
      </c>
      <c r="B293">
        <v>2</v>
      </c>
      <c r="C293" t="s">
        <v>57</v>
      </c>
      <c r="D293" t="s">
        <v>304</v>
      </c>
      <c r="E293" t="s">
        <v>305</v>
      </c>
      <c r="F293" s="1">
        <v>1.7361111111111111E-5</v>
      </c>
      <c r="G293" t="s">
        <v>16</v>
      </c>
      <c r="H293">
        <v>3</v>
      </c>
      <c r="I293">
        <v>125</v>
      </c>
      <c r="J293">
        <v>128</v>
      </c>
      <c r="L293" t="s">
        <v>17</v>
      </c>
      <c r="M293" s="3">
        <f t="shared" si="31"/>
        <v>1.4970001531764865</v>
      </c>
    </row>
    <row r="294" spans="1:13" x14ac:dyDescent="0.25">
      <c r="A294" t="s">
        <v>261</v>
      </c>
      <c r="B294">
        <v>3</v>
      </c>
      <c r="C294" t="s">
        <v>57</v>
      </c>
      <c r="D294" t="s">
        <v>306</v>
      </c>
      <c r="E294" t="s">
        <v>307</v>
      </c>
      <c r="F294" s="1">
        <v>1.7361111111111111E-5</v>
      </c>
      <c r="G294" t="s">
        <v>16</v>
      </c>
      <c r="H294">
        <v>3</v>
      </c>
      <c r="I294">
        <v>125</v>
      </c>
      <c r="J294">
        <v>128</v>
      </c>
      <c r="L294" t="s">
        <v>17</v>
      </c>
      <c r="M294" s="3">
        <f t="shared" si="31"/>
        <v>1.4980003237724304</v>
      </c>
    </row>
    <row r="295" spans="1:13" x14ac:dyDescent="0.25">
      <c r="A295" t="s">
        <v>261</v>
      </c>
      <c r="B295">
        <v>4</v>
      </c>
      <c r="C295" t="s">
        <v>57</v>
      </c>
      <c r="D295" t="s">
        <v>308</v>
      </c>
      <c r="E295" t="s">
        <v>309</v>
      </c>
      <c r="F295" s="1">
        <v>2.0833333333333333E-5</v>
      </c>
      <c r="G295" t="s">
        <v>16</v>
      </c>
      <c r="H295">
        <v>3</v>
      </c>
      <c r="I295">
        <v>125</v>
      </c>
      <c r="J295">
        <v>128</v>
      </c>
      <c r="L295" t="s">
        <v>17</v>
      </c>
      <c r="M295" s="3">
        <f t="shared" si="31"/>
        <v>1.792999729514122</v>
      </c>
    </row>
    <row r="296" spans="1:13" x14ac:dyDescent="0.25">
      <c r="A296" t="s">
        <v>261</v>
      </c>
      <c r="B296">
        <v>5</v>
      </c>
      <c r="C296" t="s">
        <v>57</v>
      </c>
      <c r="D296" t="s">
        <v>310</v>
      </c>
      <c r="E296" t="s">
        <v>311</v>
      </c>
      <c r="F296" s="1">
        <v>1.6203703703703704E-5</v>
      </c>
      <c r="G296" t="s">
        <v>16</v>
      </c>
      <c r="H296">
        <v>3</v>
      </c>
      <c r="I296">
        <v>125</v>
      </c>
      <c r="J296">
        <v>128</v>
      </c>
      <c r="L296" t="s">
        <v>17</v>
      </c>
      <c r="M296" s="3">
        <f t="shared" si="31"/>
        <v>1.3629999244585633</v>
      </c>
    </row>
    <row r="297" spans="1:13" x14ac:dyDescent="0.25">
      <c r="A297" t="s">
        <v>261</v>
      </c>
      <c r="B297">
        <v>6</v>
      </c>
      <c r="C297" t="s">
        <v>57</v>
      </c>
      <c r="D297" t="s">
        <v>312</v>
      </c>
      <c r="E297" t="s">
        <v>313</v>
      </c>
      <c r="F297" s="1">
        <v>1.3888888888888888E-5</v>
      </c>
      <c r="G297" t="s">
        <v>16</v>
      </c>
      <c r="H297">
        <v>3</v>
      </c>
      <c r="I297">
        <v>125</v>
      </c>
      <c r="J297">
        <v>128</v>
      </c>
      <c r="L297" t="s">
        <v>17</v>
      </c>
      <c r="M297" s="3">
        <f t="shared" si="31"/>
        <v>1.2379999738186598</v>
      </c>
    </row>
    <row r="298" spans="1:13" x14ac:dyDescent="0.25">
      <c r="A298" t="s">
        <v>261</v>
      </c>
      <c r="B298">
        <v>7</v>
      </c>
      <c r="C298" t="s">
        <v>57</v>
      </c>
      <c r="D298" t="s">
        <v>314</v>
      </c>
      <c r="E298" t="s">
        <v>315</v>
      </c>
      <c r="F298" s="1">
        <v>1.8518518518518518E-5</v>
      </c>
      <c r="G298" t="s">
        <v>16</v>
      </c>
      <c r="H298">
        <v>3</v>
      </c>
      <c r="I298">
        <v>125</v>
      </c>
      <c r="J298">
        <v>128</v>
      </c>
      <c r="L298" t="s">
        <v>17</v>
      </c>
      <c r="M298" s="3">
        <f t="shared" si="31"/>
        <v>1.5710002044215798</v>
      </c>
    </row>
    <row r="299" spans="1:13" x14ac:dyDescent="0.25">
      <c r="A299" t="s">
        <v>261</v>
      </c>
      <c r="B299">
        <v>8</v>
      </c>
      <c r="C299" t="s">
        <v>57</v>
      </c>
      <c r="D299" t="s">
        <v>316</v>
      </c>
      <c r="E299" t="s">
        <v>317</v>
      </c>
      <c r="F299" s="1">
        <v>1.5046296296296297E-5</v>
      </c>
      <c r="G299" t="s">
        <v>16</v>
      </c>
      <c r="H299">
        <v>3</v>
      </c>
      <c r="I299">
        <v>125</v>
      </c>
      <c r="J299">
        <v>128</v>
      </c>
      <c r="L299" t="s">
        <v>17</v>
      </c>
      <c r="M299" s="3">
        <f t="shared" si="31"/>
        <v>1.316000078804791</v>
      </c>
    </row>
    <row r="300" spans="1:13" x14ac:dyDescent="0.25">
      <c r="A300" t="s">
        <v>261</v>
      </c>
      <c r="B300">
        <v>9</v>
      </c>
      <c r="C300" t="s">
        <v>57</v>
      </c>
      <c r="D300" t="s">
        <v>318</v>
      </c>
      <c r="E300" t="s">
        <v>319</v>
      </c>
      <c r="F300" s="1">
        <v>1.8518518518518518E-5</v>
      </c>
      <c r="G300" t="s">
        <v>16</v>
      </c>
      <c r="H300">
        <v>3</v>
      </c>
      <c r="I300">
        <v>125</v>
      </c>
      <c r="J300">
        <v>128</v>
      </c>
      <c r="L300" t="s">
        <v>17</v>
      </c>
      <c r="M300" s="3">
        <f t="shared" si="31"/>
        <v>1.568999863229692</v>
      </c>
    </row>
    <row r="301" spans="1:13" x14ac:dyDescent="0.25">
      <c r="A301" t="s">
        <v>261</v>
      </c>
      <c r="B301">
        <v>10</v>
      </c>
      <c r="C301" t="s">
        <v>57</v>
      </c>
      <c r="D301" t="s">
        <v>320</v>
      </c>
      <c r="E301" t="s">
        <v>321</v>
      </c>
      <c r="F301" s="1">
        <v>1.5046296296296297E-5</v>
      </c>
      <c r="G301" t="s">
        <v>16</v>
      </c>
      <c r="H301">
        <v>3</v>
      </c>
      <c r="I301">
        <v>125</v>
      </c>
      <c r="J301">
        <v>128</v>
      </c>
      <c r="L301" t="s">
        <v>17</v>
      </c>
      <c r="M301" s="3">
        <f t="shared" si="31"/>
        <v>1.2709999457001686</v>
      </c>
    </row>
  </sheetData>
  <mergeCells count="45">
    <mergeCell ref="Y30:AA30"/>
    <mergeCell ref="O30:R30"/>
    <mergeCell ref="T30:V30"/>
    <mergeCell ref="T26:V26"/>
    <mergeCell ref="T27:V27"/>
    <mergeCell ref="T28:V28"/>
    <mergeCell ref="AI26:AK26"/>
    <mergeCell ref="AI27:AK27"/>
    <mergeCell ref="AI28:AK28"/>
    <mergeCell ref="O26:Q26"/>
    <mergeCell ref="O27:Q27"/>
    <mergeCell ref="O28:Q28"/>
    <mergeCell ref="O3:R4"/>
    <mergeCell ref="T3:W4"/>
    <mergeCell ref="Y3:AB4"/>
    <mergeCell ref="U5:W5"/>
    <mergeCell ref="T25:W25"/>
    <mergeCell ref="O25:R25"/>
    <mergeCell ref="U6:W6"/>
    <mergeCell ref="Z5:AB5"/>
    <mergeCell ref="Z6:AB6"/>
    <mergeCell ref="P5:R5"/>
    <mergeCell ref="P6:R6"/>
    <mergeCell ref="AI3:AL4"/>
    <mergeCell ref="AE5:AG5"/>
    <mergeCell ref="AJ5:AL5"/>
    <mergeCell ref="AE6:AG6"/>
    <mergeCell ref="AJ6:AL6"/>
    <mergeCell ref="AD3:AG4"/>
    <mergeCell ref="AN9:AO9"/>
    <mergeCell ref="AD30:AH30"/>
    <mergeCell ref="Y42:AA42"/>
    <mergeCell ref="AI35:AJ35"/>
    <mergeCell ref="AC42:AE42"/>
    <mergeCell ref="Y34:AA34"/>
    <mergeCell ref="Y38:AA38"/>
    <mergeCell ref="Y25:AB25"/>
    <mergeCell ref="Y26:AA26"/>
    <mergeCell ref="Y27:AA27"/>
    <mergeCell ref="Y28:AA28"/>
    <mergeCell ref="AD25:AG25"/>
    <mergeCell ref="AD26:AF26"/>
    <mergeCell ref="AD27:AF27"/>
    <mergeCell ref="AD28:AF28"/>
    <mergeCell ref="AI25:AL25"/>
  </mergeCells>
  <hyperlinks>
    <hyperlink ref="AD3" r:id="rId1" display="claude-3-haiku@20240307_x000a_All Runs Mar 5, 2026 Detailed Analysis" xr:uid="{EEE2B68D-C1E8-4B2C-B7AA-AB2BAA982BAF}"/>
    <hyperlink ref="P6" r:id="rId2" display="claude-3-haiku@20240307" xr:uid="{24E34B46-A867-47B9-9097-5D88192F6AB7}"/>
    <hyperlink ref="O3" r:id="rId3" xr:uid="{51CE5C86-E6CB-4301-BDB2-0B4B58D2D446}"/>
  </hyperlinks>
  <pageMargins left="0.7" right="0.7" top="0.75" bottom="0.75" header="0.3" footer="0.3"/>
  <pageSetup orientation="portrait" horizontalDpi="0" verticalDpi="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258C4-235C-4C4C-B7A7-BE8FFCE3A31B}">
  <dimension ref="A1:AO301"/>
  <sheetViews>
    <sheetView topLeftCell="L3" zoomScale="80" zoomScaleNormal="80" workbookViewId="0">
      <selection activeCell="AD32" sqref="AD32:AF34"/>
    </sheetView>
  </sheetViews>
  <sheetFormatPr defaultRowHeight="15" x14ac:dyDescent="0.25"/>
  <cols>
    <col min="1" max="1" width="24.5703125" bestFit="1" customWidth="1"/>
    <col min="2" max="2" width="8" bestFit="1" customWidth="1"/>
    <col min="3" max="3" width="14.28515625" bestFit="1" customWidth="1"/>
    <col min="4" max="5" width="28" bestFit="1" customWidth="1"/>
    <col min="6" max="6" width="11.140625" bestFit="1" customWidth="1"/>
    <col min="7" max="7" width="8.140625" bestFit="1" customWidth="1"/>
    <col min="8" max="8" width="18" bestFit="1" customWidth="1"/>
    <col min="9" max="9" width="14.28515625" bestFit="1" customWidth="1"/>
    <col min="10" max="10" width="11.7109375" bestFit="1" customWidth="1"/>
    <col min="11" max="11" width="5.85546875" bestFit="1" customWidth="1"/>
    <col min="12" max="12" width="6.7109375" bestFit="1" customWidth="1"/>
    <col min="13" max="13" width="17.28515625" bestFit="1" customWidth="1"/>
    <col min="15" max="15" width="25" bestFit="1" customWidth="1"/>
    <col min="16" max="16" width="17.28515625" bestFit="1" customWidth="1"/>
    <col min="17" max="18" width="9" bestFit="1" customWidth="1"/>
    <col min="20" max="20" width="23.7109375" bestFit="1" customWidth="1"/>
    <col min="21" max="23" width="19.85546875" bestFit="1" customWidth="1"/>
    <col min="25" max="25" width="19.28515625" bestFit="1" customWidth="1"/>
    <col min="26" max="27" width="12" bestFit="1" customWidth="1"/>
    <col min="28" max="28" width="9" bestFit="1" customWidth="1"/>
    <col min="30" max="30" width="19.28515625" bestFit="1" customWidth="1"/>
    <col min="31" max="31" width="9.28515625" bestFit="1" customWidth="1"/>
    <col min="32" max="32" width="10.140625" bestFit="1" customWidth="1"/>
    <col min="33" max="33" width="9" bestFit="1" customWidth="1"/>
    <col min="34" max="34" width="14.140625" customWidth="1"/>
    <col min="35" max="35" width="19.28515625" bestFit="1" customWidth="1"/>
    <col min="36" max="36" width="9.28515625" bestFit="1" customWidth="1"/>
    <col min="37" max="38" width="9" bestFit="1" customWidth="1"/>
  </cols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390</v>
      </c>
    </row>
    <row r="2" spans="1:41" ht="15.75" thickBot="1" x14ac:dyDescent="0.3">
      <c r="A2" t="s">
        <v>12</v>
      </c>
      <c r="B2">
        <v>1</v>
      </c>
      <c r="C2" t="s">
        <v>13</v>
      </c>
      <c r="D2" t="s">
        <v>322</v>
      </c>
      <c r="E2" t="s">
        <v>323</v>
      </c>
      <c r="F2" s="1">
        <v>1.5046296296296297E-5</v>
      </c>
      <c r="G2" t="s">
        <v>16</v>
      </c>
      <c r="H2">
        <v>5</v>
      </c>
      <c r="I2">
        <v>81</v>
      </c>
      <c r="J2">
        <v>86</v>
      </c>
      <c r="L2" t="s">
        <v>17</v>
      </c>
      <c r="M2" s="3">
        <f>(SUBSTITUTE(LEFT(E2,23),"T"," ")-SUBSTITUTE(LEFT(D2,23),"T"," "))*86400</f>
        <v>1.0330002056434751</v>
      </c>
    </row>
    <row r="3" spans="1:41" ht="15" customHeight="1" x14ac:dyDescent="0.25">
      <c r="A3" t="s">
        <v>12</v>
      </c>
      <c r="B3">
        <v>2</v>
      </c>
      <c r="C3" t="s">
        <v>13</v>
      </c>
      <c r="D3" t="s">
        <v>324</v>
      </c>
      <c r="E3" t="s">
        <v>325</v>
      </c>
      <c r="F3" s="1">
        <v>1.1574074074074073E-5</v>
      </c>
      <c r="G3" t="s">
        <v>16</v>
      </c>
      <c r="H3">
        <v>5</v>
      </c>
      <c r="I3">
        <v>81</v>
      </c>
      <c r="J3">
        <v>86</v>
      </c>
      <c r="L3" t="s">
        <v>17</v>
      </c>
      <c r="M3" s="3">
        <f t="shared" ref="M3:M66" si="0">(SUBSTITUTE(LEFT(E3,23),"T"," ")-SUBSTITUTE(LEFT(D3,23),"T"," "))*86400</f>
        <v>0.98500018939375877</v>
      </c>
      <c r="O3" s="47" t="s">
        <v>78</v>
      </c>
      <c r="P3" s="40"/>
      <c r="Q3" s="40"/>
      <c r="R3" s="41"/>
      <c r="T3" s="26" t="str">
        <f>O3 &amp; "
All Runs Mar 3, 2026 Detailed Analysis"</f>
        <v>deepseek-v3@0324
All Runs Mar 3, 2026 Detailed Analysis</v>
      </c>
      <c r="U3" s="27"/>
      <c r="V3" s="27"/>
      <c r="W3" s="28"/>
      <c r="Y3" s="26" t="str">
        <f>O3 &amp; "
Stable Runs (2-9) Mar 3, 2026 "</f>
        <v xml:space="preserve">deepseek-v3@0324
Stable Runs (2-9) Mar 3, 2026 </v>
      </c>
      <c r="Z3" s="27"/>
      <c r="AA3" s="27"/>
      <c r="AB3" s="28"/>
      <c r="AD3" s="48" t="str">
        <f>O3 &amp; "
All Runs Mar 5, 2026 Detailed Analysis"</f>
        <v>deepseek-v3@0324
All Runs Mar 5, 2026 Detailed Analysis</v>
      </c>
      <c r="AE3" s="49"/>
      <c r="AF3" s="49"/>
      <c r="AG3" s="50"/>
      <c r="AI3" s="26" t="str">
        <f>O3 &amp; "
Stable Runs (2-9) Mar 5, 2026 "</f>
        <v xml:space="preserve">deepseek-v3@0324
Stable Runs (2-9) Mar 5, 2026 </v>
      </c>
      <c r="AJ3" s="27"/>
      <c r="AK3" s="27"/>
      <c r="AL3" s="28"/>
    </row>
    <row r="4" spans="1:41" ht="15.75" thickBot="1" x14ac:dyDescent="0.3">
      <c r="A4" t="s">
        <v>12</v>
      </c>
      <c r="B4">
        <v>3</v>
      </c>
      <c r="C4" t="s">
        <v>13</v>
      </c>
      <c r="D4" t="s">
        <v>326</v>
      </c>
      <c r="E4" t="s">
        <v>327</v>
      </c>
      <c r="F4" s="1">
        <v>2.0833333333333333E-5</v>
      </c>
      <c r="G4" t="s">
        <v>16</v>
      </c>
      <c r="H4">
        <v>5</v>
      </c>
      <c r="I4">
        <v>81</v>
      </c>
      <c r="J4">
        <v>86</v>
      </c>
      <c r="L4" t="s">
        <v>17</v>
      </c>
      <c r="M4" s="3">
        <f t="shared" si="0"/>
        <v>1.0829999344423413</v>
      </c>
      <c r="O4" s="42"/>
      <c r="P4" s="43"/>
      <c r="Q4" s="43"/>
      <c r="R4" s="44"/>
      <c r="T4" s="29"/>
      <c r="U4" s="30"/>
      <c r="V4" s="30"/>
      <c r="W4" s="31"/>
      <c r="Y4" s="29"/>
      <c r="Z4" s="30"/>
      <c r="AA4" s="30"/>
      <c r="AB4" s="31"/>
      <c r="AD4" s="51"/>
      <c r="AE4" s="52"/>
      <c r="AF4" s="52"/>
      <c r="AG4" s="53"/>
      <c r="AI4" s="29"/>
      <c r="AJ4" s="30"/>
      <c r="AK4" s="30"/>
      <c r="AL4" s="31"/>
    </row>
    <row r="5" spans="1:41" x14ac:dyDescent="0.25">
      <c r="A5" t="s">
        <v>12</v>
      </c>
      <c r="B5">
        <v>4</v>
      </c>
      <c r="C5" t="s">
        <v>13</v>
      </c>
      <c r="D5" t="s">
        <v>328</v>
      </c>
      <c r="E5" t="s">
        <v>329</v>
      </c>
      <c r="F5" s="1">
        <v>1.1574074074074073E-5</v>
      </c>
      <c r="G5" t="s">
        <v>16</v>
      </c>
      <c r="H5">
        <v>5</v>
      </c>
      <c r="I5">
        <v>81</v>
      </c>
      <c r="J5">
        <v>86</v>
      </c>
      <c r="L5" t="s">
        <v>17</v>
      </c>
      <c r="M5" s="3">
        <f t="shared" si="0"/>
        <v>0.96200003754347563</v>
      </c>
      <c r="O5" s="8"/>
      <c r="P5" s="45" t="s">
        <v>643</v>
      </c>
      <c r="Q5" s="45"/>
      <c r="R5" s="46"/>
      <c r="T5" s="13" t="s">
        <v>637</v>
      </c>
      <c r="U5" s="32" t="s">
        <v>639</v>
      </c>
      <c r="V5" s="32"/>
      <c r="W5" s="33"/>
      <c r="Y5" s="13" t="s">
        <v>637</v>
      </c>
      <c r="Z5" s="32" t="s">
        <v>639</v>
      </c>
      <c r="AA5" s="32"/>
      <c r="AB5" s="33"/>
      <c r="AD5" s="13" t="s">
        <v>637</v>
      </c>
      <c r="AE5" s="32" t="s">
        <v>642</v>
      </c>
      <c r="AF5" s="32"/>
      <c r="AG5" s="33"/>
      <c r="AI5" s="13" t="s">
        <v>637</v>
      </c>
      <c r="AJ5" s="32" t="s">
        <v>642</v>
      </c>
      <c r="AK5" s="32"/>
      <c r="AL5" s="33"/>
    </row>
    <row r="6" spans="1:41" x14ac:dyDescent="0.25">
      <c r="A6" t="s">
        <v>12</v>
      </c>
      <c r="B6">
        <v>5</v>
      </c>
      <c r="C6" t="s">
        <v>13</v>
      </c>
      <c r="D6" t="s">
        <v>330</v>
      </c>
      <c r="E6" t="s">
        <v>331</v>
      </c>
      <c r="F6" s="1">
        <v>1.3888888888888888E-5</v>
      </c>
      <c r="G6" t="s">
        <v>16</v>
      </c>
      <c r="H6">
        <v>5</v>
      </c>
      <c r="I6">
        <v>81</v>
      </c>
      <c r="J6">
        <v>86</v>
      </c>
      <c r="L6" t="s">
        <v>17</v>
      </c>
      <c r="M6" s="3">
        <f t="shared" si="0"/>
        <v>1.0150002781301737</v>
      </c>
      <c r="O6" s="9" t="s">
        <v>0</v>
      </c>
      <c r="P6" s="34" t="str">
        <f>O3</f>
        <v>deepseek-v3@0324</v>
      </c>
      <c r="Q6" s="34"/>
      <c r="R6" s="35"/>
      <c r="T6" s="9" t="s">
        <v>0</v>
      </c>
      <c r="U6" s="34" t="str">
        <f>P6</f>
        <v>deepseek-v3@0324</v>
      </c>
      <c r="V6" s="34"/>
      <c r="W6" s="35"/>
      <c r="Y6" s="9" t="s">
        <v>0</v>
      </c>
      <c r="Z6" s="34" t="str">
        <f>U6</f>
        <v>deepseek-v3@0324</v>
      </c>
      <c r="AA6" s="34"/>
      <c r="AB6" s="35"/>
      <c r="AD6" s="9" t="s">
        <v>0</v>
      </c>
      <c r="AE6" s="34" t="str">
        <f>Z6</f>
        <v>deepseek-v3@0324</v>
      </c>
      <c r="AF6" s="34"/>
      <c r="AG6" s="35"/>
      <c r="AI6" s="9" t="s">
        <v>0</v>
      </c>
      <c r="AJ6" s="34" t="str">
        <f>AE6</f>
        <v>deepseek-v3@0324</v>
      </c>
      <c r="AK6" s="34"/>
      <c r="AL6" s="35"/>
    </row>
    <row r="7" spans="1:41" ht="15.75" thickBot="1" x14ac:dyDescent="0.3">
      <c r="A7" t="s">
        <v>12</v>
      </c>
      <c r="B7">
        <v>6</v>
      </c>
      <c r="C7" t="s">
        <v>13</v>
      </c>
      <c r="D7" t="s">
        <v>332</v>
      </c>
      <c r="E7" t="s">
        <v>333</v>
      </c>
      <c r="F7" s="1">
        <v>1.1574074074074073E-5</v>
      </c>
      <c r="G7" t="s">
        <v>16</v>
      </c>
      <c r="H7">
        <v>5</v>
      </c>
      <c r="I7">
        <v>81</v>
      </c>
      <c r="J7">
        <v>86</v>
      </c>
      <c r="L7" t="s">
        <v>17</v>
      </c>
      <c r="M7" s="3">
        <f t="shared" si="0"/>
        <v>0.99999960511922836</v>
      </c>
      <c r="O7" s="10"/>
      <c r="P7" s="11"/>
      <c r="Q7" s="11"/>
      <c r="R7" s="12"/>
      <c r="T7" s="10"/>
      <c r="U7" s="11"/>
      <c r="V7" s="11"/>
      <c r="W7" s="12"/>
      <c r="Y7" s="14" t="s">
        <v>640</v>
      </c>
      <c r="Z7" s="11">
        <v>2</v>
      </c>
      <c r="AA7" s="15" t="s">
        <v>641</v>
      </c>
      <c r="AB7" s="12">
        <v>9</v>
      </c>
      <c r="AD7" s="10"/>
      <c r="AE7" s="11"/>
      <c r="AF7" s="11"/>
      <c r="AG7" s="12"/>
      <c r="AI7" s="14" t="s">
        <v>640</v>
      </c>
      <c r="AJ7" s="11">
        <v>2</v>
      </c>
      <c r="AK7" s="15" t="s">
        <v>641</v>
      </c>
      <c r="AL7" s="12">
        <v>9</v>
      </c>
    </row>
    <row r="8" spans="1:41" x14ac:dyDescent="0.25">
      <c r="A8" t="s">
        <v>12</v>
      </c>
      <c r="B8">
        <v>7</v>
      </c>
      <c r="C8" t="s">
        <v>13</v>
      </c>
      <c r="D8" t="s">
        <v>334</v>
      </c>
      <c r="E8" t="s">
        <v>335</v>
      </c>
      <c r="F8" s="1">
        <v>1.1574074074074073E-5</v>
      </c>
      <c r="G8" t="s">
        <v>16</v>
      </c>
      <c r="H8">
        <v>5</v>
      </c>
      <c r="I8">
        <v>81</v>
      </c>
      <c r="J8">
        <v>86</v>
      </c>
      <c r="L8" t="s">
        <v>17</v>
      </c>
      <c r="M8" s="3">
        <f t="shared" si="0"/>
        <v>0.97899979446083307</v>
      </c>
      <c r="O8" s="7" t="s">
        <v>638</v>
      </c>
      <c r="P8" s="7" t="s">
        <v>13</v>
      </c>
      <c r="Q8" s="7" t="s">
        <v>36</v>
      </c>
      <c r="R8" s="7" t="s">
        <v>57</v>
      </c>
      <c r="T8" s="7" t="s">
        <v>638</v>
      </c>
      <c r="U8" s="7" t="s">
        <v>13</v>
      </c>
      <c r="V8" s="7" t="s">
        <v>36</v>
      </c>
      <c r="W8" s="7" t="s">
        <v>57</v>
      </c>
      <c r="Y8" s="7" t="s">
        <v>638</v>
      </c>
      <c r="Z8" s="7" t="s">
        <v>13</v>
      </c>
      <c r="AA8" t="s">
        <v>36</v>
      </c>
      <c r="AB8" s="7" t="s">
        <v>57</v>
      </c>
      <c r="AD8" s="7" t="s">
        <v>638</v>
      </c>
      <c r="AE8" s="7" t="s">
        <v>13</v>
      </c>
      <c r="AF8" s="7" t="s">
        <v>36</v>
      </c>
      <c r="AG8" s="7" t="s">
        <v>57</v>
      </c>
      <c r="AI8" s="7" t="s">
        <v>638</v>
      </c>
      <c r="AJ8" s="7" t="s">
        <v>13</v>
      </c>
      <c r="AK8" t="s">
        <v>36</v>
      </c>
      <c r="AL8" s="7" t="s">
        <v>57</v>
      </c>
    </row>
    <row r="9" spans="1:41" x14ac:dyDescent="0.25">
      <c r="A9" t="s">
        <v>12</v>
      </c>
      <c r="B9">
        <v>8</v>
      </c>
      <c r="C9" t="s">
        <v>13</v>
      </c>
      <c r="D9" t="s">
        <v>336</v>
      </c>
      <c r="E9" t="s">
        <v>337</v>
      </c>
      <c r="F9" s="1">
        <v>1.3888888888888888E-5</v>
      </c>
      <c r="G9" t="s">
        <v>16</v>
      </c>
      <c r="H9">
        <v>5</v>
      </c>
      <c r="I9">
        <v>81</v>
      </c>
      <c r="J9">
        <v>86</v>
      </c>
      <c r="L9" t="s">
        <v>17</v>
      </c>
      <c r="M9" s="3">
        <f t="shared" si="0"/>
        <v>1.0160004487261176</v>
      </c>
      <c r="O9" t="s">
        <v>382</v>
      </c>
      <c r="P9" s="4" cm="1">
        <f t="array" ref="P9">ROUND(AVERAGE(_xlfn._xlws.FILTER($M$2:$M$1000, ($A$2:$A$1000=$P6) * ($C$2:$C$1000=P$8))),2)</f>
        <v>1.46</v>
      </c>
      <c r="Q9" s="4" cm="1">
        <f t="array" ref="Q9">ROUND(AVERAGE(_xlfn._xlws.FILTER($M$2:$M$1000, ($A$2:$A$1000=$P6) * ($C$2:$C$1000=Q$8))),2)</f>
        <v>1.4</v>
      </c>
      <c r="R9" s="4" cm="1">
        <f t="array" ref="R9">ROUND(AVERAGE(_xlfn._xlws.FILTER($M$2:$M$1000, ($A$2:$A$1000=$P6) * ($C$2:$C$1000=R$8))),2)</f>
        <v>1.42</v>
      </c>
      <c r="T9" t="s">
        <v>382</v>
      </c>
      <c r="U9" s="4" cm="1">
        <f t="array" ref="U9">ROUND(AVERAGE(_xlfn._xlws.FILTER($M$2:$M$1000, ($A$2:$A$1000=$U6) * ($C$2:$C$1000=U$8) * (LEFT($D$2:$D$1000,10)=$U5))),2)</f>
        <v>1.55</v>
      </c>
      <c r="V9" s="4" cm="1">
        <f t="array" ref="V9">ROUND(AVERAGE(_xlfn._xlws.FILTER($M$2:$M$1000, ($A$2:$A$1000=$U6) * ($C$2:$C$1000=V$8) * (LEFT($D$2:$D$1000,10)=$U5))),2)</f>
        <v>1.46</v>
      </c>
      <c r="W9" s="4" cm="1">
        <f t="array" ref="W9">ROUND(AVERAGE(_xlfn._xlws.FILTER($M$2:$M$1000, ($A$2:$A$1000=$U6) * ($C$2:$C$1000=W$8) * (LEFT($D$2:$D$1000,10)=$U5))),2)</f>
        <v>1.41</v>
      </c>
      <c r="Y9" t="s">
        <v>382</v>
      </c>
      <c r="Z9" s="4" cm="1">
        <f t="array" ref="Z9">ROUND(AVERAGE(_xlfn._xlws.FILTER($M$2:$M$1000, ($A$2:$A$1000=$Z$6) * ($C$2:$C$1000=Z$8) * ($B$2:$B$1000&gt;=$Z$7) * ($B$2:$B$1000&lt;=$AB$7) * (LEFT($D$2:$D$1000,10)=$Z$5))),2)</f>
        <v>1.49</v>
      </c>
      <c r="AA9" s="4" cm="1">
        <f t="array" ref="AA9">ROUND(AVERAGE(_xlfn._xlws.FILTER($M$2:$M$1000, ($A$2:$A$1000=$Z$6) * ($C$2:$C$1000=AA$8) * ($B$2:$B$1000&gt;=$Z$7) * ($B$2:$B$1000&lt;=$AB$7) * (LEFT($D$2:$D$1000,10)=$Z$5))),2)</f>
        <v>1.46</v>
      </c>
      <c r="AB9" s="4" cm="1">
        <f t="array" ref="AB9">ROUND(AVERAGE(_xlfn._xlws.FILTER($M$2:$M$1000, ($A$2:$A$1000=$Z$6) * ($C$2:$C$1000=AB$8) * ($B$2:$B$1000&gt;=$Z$7) * ($B$2:$B$1000&lt;=$AB$7) * (LEFT($D$2:$D$1000,10)=$Z$5))),2)</f>
        <v>1.37</v>
      </c>
      <c r="AD9" t="s">
        <v>382</v>
      </c>
      <c r="AE9" s="4" cm="1">
        <f t="array" ref="AE9">ROUND(AVERAGE(_xlfn._xlws.FILTER($M$2:$M$1000, ($A$2:$A$1000=$AE6) * ($C$2:$C$1000=AE$8) * (LEFT($D$2:$D$1000,10)=$AE5))),2)</f>
        <v>1.37</v>
      </c>
      <c r="AF9" s="4" cm="1">
        <f t="array" ref="AF9">ROUND(AVERAGE(_xlfn._xlws.FILTER($M$2:$M$1000, ($A$2:$A$1000=$AE6) * ($C$2:$C$1000=AF$8) * (LEFT($D$2:$D$1000,10)=$AE5))),2)</f>
        <v>1.35</v>
      </c>
      <c r="AG9" s="4" cm="1">
        <f t="array" ref="AG9">ROUND(AVERAGE(_xlfn._xlws.FILTER($M$2:$M$1000, ($A$2:$A$1000=$AE6) * ($C$2:$C$1000=AG$8) * (LEFT($D$2:$D$1000,10)=$AE5))),2)</f>
        <v>1.42</v>
      </c>
      <c r="AI9" t="s">
        <v>382</v>
      </c>
      <c r="AJ9" s="4" cm="1">
        <f t="array" ref="AJ9">ROUND(AVERAGE(_xlfn._xlws.FILTER($M$2:$M$1000, ($A$2:$A$1000=$AJ$6) * ($C$2:$C$1000=AJ$8) * ($B$2:$B$1000&gt;=$AJ$7) * ($B$2:$B$1000&lt;=$AL$7) * (LEFT($D$2:$D$1000,10)=$AJ$5))),2)</f>
        <v>1.38</v>
      </c>
      <c r="AK9" s="4" cm="1">
        <f t="array" ref="AK9">ROUND(AVERAGE(_xlfn._xlws.FILTER($M$2:$M$1000, ($A$2:$A$1000=$AJ$6) * ($C$2:$C$1000=AK$8) * ($B$2:$B$1000&gt;=$AJ$7) * ($B$2:$B$1000&lt;=$AL$7) * (LEFT($D$2:$D$1000,10)=$AJ$5))),2)</f>
        <v>1.29</v>
      </c>
      <c r="AL9" s="4" cm="1">
        <f t="array" ref="AL9">ROUND(AVERAGE(_xlfn._xlws.FILTER($M$2:$M$1000, ($A$2:$A$1000=$AJ$6) * ($C$2:$C$1000=AL$8) * ($B$2:$B$1000&gt;=$AJ$7) * ($B$2:$B$1000&lt;=$AL$7) * (LEFT($D$2:$D$1000,10)=$AJ$5))),2)</f>
        <v>1.44</v>
      </c>
      <c r="AN9" s="23"/>
      <c r="AO9" s="23"/>
    </row>
    <row r="10" spans="1:41" x14ac:dyDescent="0.25">
      <c r="A10" t="s">
        <v>12</v>
      </c>
      <c r="B10">
        <v>9</v>
      </c>
      <c r="C10" t="s">
        <v>13</v>
      </c>
      <c r="D10" t="s">
        <v>338</v>
      </c>
      <c r="E10" t="s">
        <v>339</v>
      </c>
      <c r="F10" s="1">
        <v>1.3888888888888888E-5</v>
      </c>
      <c r="G10" t="s">
        <v>16</v>
      </c>
      <c r="H10">
        <v>5</v>
      </c>
      <c r="I10">
        <v>81</v>
      </c>
      <c r="J10">
        <v>86</v>
      </c>
      <c r="L10" t="s">
        <v>17</v>
      </c>
      <c r="M10" s="3">
        <f t="shared" si="0"/>
        <v>1.0180001612752676</v>
      </c>
      <c r="O10" t="s">
        <v>383</v>
      </c>
      <c r="P10" s="4" cm="1">
        <f t="array" ref="P10">ROUND(MEDIAN(IF(($A:$A=$P6)*($C:$C=P$8), $M:$M)),2)</f>
        <v>1.45</v>
      </c>
      <c r="Q10" s="4" cm="1">
        <f t="array" ref="Q10">ROUND(MEDIAN(IF(($A:$A=$P6)*($C:$C=Q$8), $M:$M)),2)</f>
        <v>1.41</v>
      </c>
      <c r="R10" s="4" cm="1">
        <f t="array" ref="R10">ROUND(MEDIAN(IF(($A:$A=$P6)*($C:$C=R$8), $M:$M)),2)</f>
        <v>1.4</v>
      </c>
      <c r="T10" t="s">
        <v>383</v>
      </c>
      <c r="U10" s="4" cm="1">
        <f t="array" ref="U10">ROUND(MEDIAN(_xlfn._xlws.FILTER($M$2:$M$1000, ($A$2:$A$1000=$U6) * ($C$2:$C$1000=U$8) * (LEFT($D$2:$D$1000,10)=$U5))),2)</f>
        <v>1.5</v>
      </c>
      <c r="V10" s="4" cm="1">
        <f t="array" ref="V10">ROUND(MEDIAN(_xlfn._xlws.FILTER($M$2:$M$1000, ($A$2:$A$1000=$U6) * ($C$2:$C$1000=V$8) * (LEFT($D$2:$D$1000,10)=$U5))),2)</f>
        <v>1.44</v>
      </c>
      <c r="W10" s="4" cm="1">
        <f t="array" ref="W10">ROUND(MEDIAN(_xlfn._xlws.FILTER($M$2:$M$1000, ($A$2:$A$1000=$U6) * ($C$2:$C$1000=W$8) * (LEFT($D$2:$D$1000,10)=$U5))),2)</f>
        <v>1.37</v>
      </c>
      <c r="Y10" t="s">
        <v>383</v>
      </c>
      <c r="Z10" s="4" cm="1">
        <f t="array" ref="Z10">ROUND(MEDIAN(_xlfn._xlws.FILTER($M$2:$M$1000, ($A$2:$A$1000=$Z6) * ($C$2:$C$1000=Z$8) *  ($B$2:$B$1000&gt;=$Z$7) * ($B$2:$B$1000&lt;=$AB$7) * (LEFT($D$2:$D$1000,10)=$Z5))),2)</f>
        <v>1.5</v>
      </c>
      <c r="AA10" s="4" cm="1">
        <f t="array" ref="AA10">ROUND(MEDIAN(_xlfn._xlws.FILTER($M$2:$M$1000, ($A$2:$A$1000=$Z6) * ($C$2:$C$1000=AA$8) *  ($B$2:$B$1000&gt;=$Z$7) * ($B$2:$B$1000&lt;=$AB$7) * (LEFT($D$2:$D$1000,10)=$Z5))),2)</f>
        <v>1.44</v>
      </c>
      <c r="AB10" s="4" cm="1">
        <f t="array" ref="AB10">ROUND(MEDIAN(_xlfn._xlws.FILTER($M$2:$M$1000, ($A$2:$A$1000=$Z6) * ($C$2:$C$1000=AB$8) *  ($B$2:$B$1000&gt;=$Z$7) * ($B$2:$B$1000&lt;=$AB$7) * (LEFT($D$2:$D$1000,10)=$Z5))),2)</f>
        <v>1.37</v>
      </c>
      <c r="AD10" t="s">
        <v>383</v>
      </c>
      <c r="AE10" s="4" cm="1">
        <f t="array" ref="AE10">ROUND(MEDIAN(_xlfn._xlws.FILTER($M$2:$M$1000, ($A$2:$A$1000=$AE6) * ($C$2:$C$1000=AE$8) * (LEFT($D$2:$D$1000,10)=$AE5))),2)</f>
        <v>1.44</v>
      </c>
      <c r="AF10" s="4" cm="1">
        <f t="array" ref="AF10">ROUND(MEDIAN(_xlfn._xlws.FILTER($M$2:$M$1000, ($A$2:$A$1000=$AE6) * ($C$2:$C$1000=AF$8) * (LEFT($D$2:$D$1000,10)=$AE5))),2)</f>
        <v>1.39</v>
      </c>
      <c r="AG10" s="4" cm="1">
        <f t="array" ref="AG10">ROUND(MEDIAN(_xlfn._xlws.FILTER($M$2:$M$1000, ($A$2:$A$1000=$AE6) * ($C$2:$C$1000=AG$8) * (LEFT($D$2:$D$1000,10)=$AE5))),2)</f>
        <v>1.49</v>
      </c>
      <c r="AI10" t="s">
        <v>383</v>
      </c>
      <c r="AJ10" s="4" cm="1">
        <f t="array" ref="AJ10">ROUND(MEDIAN(_xlfn._xlws.FILTER($M$2:$M$1000, ($A$2:$A$1000=$AJ6) * ($C$2:$C$1000=AJ$8) *  ($B$2:$B$1000&gt;=$AJ$7) * ($B$2:$B$1000&lt;=$AL$7) * (LEFT($D$2:$D$1000,10)=$AJ5))),2)</f>
        <v>1.44</v>
      </c>
      <c r="AK10" s="4" cm="1">
        <f t="array" ref="AK10">ROUND(MEDIAN(_xlfn._xlws.FILTER($M$2:$M$1000, ($A$2:$A$1000=$AJ6) * ($C$2:$C$1000=AK$8) *  ($B$2:$B$1000&gt;=$AJ$7) * ($B$2:$B$1000&lt;=$AL$7) * (LEFT($D$2:$D$1000,10)=$AJ5))),2)</f>
        <v>1.28</v>
      </c>
      <c r="AL10" s="4" cm="1">
        <f t="array" ref="AL10">ROUND(MEDIAN(_xlfn._xlws.FILTER($M$2:$M$1000, ($A$2:$A$1000=$AJ6) * ($C$2:$C$1000=AL$8) *  ($B$2:$B$1000&gt;=$AJ$7) * ($B$2:$B$1000&lt;=$AL$7) * (LEFT($D$2:$D$1000,10)=$AJ5))),2)</f>
        <v>1.49</v>
      </c>
    </row>
    <row r="11" spans="1:41" x14ac:dyDescent="0.25">
      <c r="A11" t="s">
        <v>12</v>
      </c>
      <c r="B11">
        <v>10</v>
      </c>
      <c r="C11" t="s">
        <v>13</v>
      </c>
      <c r="D11" t="s">
        <v>340</v>
      </c>
      <c r="E11" t="s">
        <v>341</v>
      </c>
      <c r="F11" s="1">
        <v>1.7361111111111111E-5</v>
      </c>
      <c r="G11" t="s">
        <v>16</v>
      </c>
      <c r="H11">
        <v>5</v>
      </c>
      <c r="I11">
        <v>81</v>
      </c>
      <c r="J11">
        <v>86</v>
      </c>
      <c r="L11" t="s">
        <v>17</v>
      </c>
      <c r="M11" s="3">
        <f t="shared" si="0"/>
        <v>1.0459999088197947</v>
      </c>
      <c r="O11" t="s">
        <v>631</v>
      </c>
      <c r="P11" s="19" cm="1">
        <f t="array" ref="P11">ROUND(_xlfn.QUARTILE.INC(IF(($A:$A=$P6)*($C:$C=P$8),$M:$M),1),2)</f>
        <v>1.37</v>
      </c>
      <c r="Q11" s="19" cm="1">
        <f t="array" ref="Q11">ROUND(_xlfn.QUARTILE.INC(IF(($A:$A=$P6)*($C:$C=Q$8),$M:$M),1),2)</f>
        <v>1.25</v>
      </c>
      <c r="R11" s="19" cm="1">
        <f t="array" ref="R11">ROUND(_xlfn.QUARTILE.INC(IF(($A:$A=$P6)*($C:$C=R$8),$M:$M),1),2)</f>
        <v>1.29</v>
      </c>
      <c r="T11" t="s">
        <v>631</v>
      </c>
      <c r="U11" s="4" cm="1">
        <f t="array" ref="U11">ROUND(_xlfn.QUARTILE.INC(_xlfn._xlws.FILTER($M$2:$M$1000, ($A$2:$A$1000=$U6) * ($C$2:$C$1000=U$8) * (LEFT($D$2:$D$1000,10)=$U5)), 1),2)</f>
        <v>1.44</v>
      </c>
      <c r="V11" s="4" cm="1">
        <f t="array" ref="V11">ROUND(_xlfn.QUARTILE.INC(_xlfn._xlws.FILTER($M$2:$M$1000, ($A$2:$A$1000=$U6) * ($C$2:$C$1000=V$8) * (LEFT($D$2:$D$1000,10)=$U5)), 1),2)</f>
        <v>1.33</v>
      </c>
      <c r="W11" s="4" cm="1">
        <f t="array" ref="W11">ROUND(_xlfn.QUARTILE.INC(_xlfn._xlws.FILTER($M$2:$M$1000, ($A$2:$A$1000=$U6) * ($C$2:$C$1000=W$8) * (LEFT($D$2:$D$1000,10)=$U5)), 1),2)</f>
        <v>1.27</v>
      </c>
      <c r="Y11" t="s">
        <v>631</v>
      </c>
      <c r="Z11" s="4" cm="1">
        <f t="array" ref="Z11">ROUND(_xlfn.QUARTILE.INC(_xlfn._xlws.FILTER($M$2:$M$1000, ($A$2:$A$1000=$Z6) * ($C$2:$C$1000=Z$8) *  ($B$2:$B$1000&gt;=$Z$7) * ($B$2:$B$1000&lt;=$AB$7) * (LEFT($D$2:$D$1000,10)=$Z5)), 1),2)</f>
        <v>1.4</v>
      </c>
      <c r="AA11" s="4" cm="1">
        <f t="array" ref="AA11">ROUND(_xlfn.QUARTILE.INC(_xlfn._xlws.FILTER($M$2:$M$1000, ($A$2:$A$1000=$Z6) * ($C$2:$C$1000=AA$8) *  ($B$2:$B$1000&gt;=$Z$7) * ($B$2:$B$1000&lt;=$AB$7) * (LEFT($D$2:$D$1000,10)=$Z5)), 1),2)</f>
        <v>1.33</v>
      </c>
      <c r="AB11" s="4" cm="1">
        <f t="array" ref="AB11">ROUND(_xlfn.QUARTILE.INC(_xlfn._xlws.FILTER($M$2:$M$1000, ($A$2:$A$1000=$Z6) * ($C$2:$C$1000=AB$8) *  ($B$2:$B$1000&gt;=$Z$7) * ($B$2:$B$1000&lt;=$AB$7) * (LEFT($D$2:$D$1000,10)=$Z5)), 1),2)</f>
        <v>1.29</v>
      </c>
      <c r="AD11" t="s">
        <v>631</v>
      </c>
      <c r="AE11" s="4" cm="1">
        <f t="array" ref="AE11">ROUND(_xlfn.QUARTILE.INC(_xlfn._xlws.FILTER($M$2:$M$1000, ($A$2:$A$1000=$AE6) * ($C$2:$C$1000=AE$8) * (LEFT($D$2:$D$1000,10)=$AE5)), 1),2)</f>
        <v>1.25</v>
      </c>
      <c r="AF11" s="4" cm="1">
        <f t="array" ref="AF11">ROUND(_xlfn.QUARTILE.INC(_xlfn._xlws.FILTER($M$2:$M$1000, ($A$2:$A$1000=$AE6) * ($C$2:$C$1000=AF$8) * (LEFT($D$2:$D$1000,10)=$AE5)), 1),2)</f>
        <v>1.1599999999999999</v>
      </c>
      <c r="AG11" s="4" cm="1">
        <f t="array" ref="AG11">ROUND(_xlfn.QUARTILE.INC(_xlfn._xlws.FILTER($M$2:$M$1000, ($A$2:$A$1000=$AE6) * ($C$2:$C$1000=AG$8) * (LEFT($D$2:$D$1000,10)=$AE5)), 1),2)</f>
        <v>1.36</v>
      </c>
      <c r="AI11" t="s">
        <v>631</v>
      </c>
      <c r="AJ11" s="4" cm="1">
        <f t="array" ref="AJ11">ROUND(_xlfn.QUARTILE.INC(_xlfn._xlws.FILTER($M$2:$M$1000, ($A$2:$A$1000=$AJ6) * ($C$2:$C$1000=AJ$8) *  ($B$2:$B$1000&gt;=$AJ$7) * ($B$2:$B$1000&lt;=$AL$7) * (LEFT($D$2:$D$1000,10)=$AJ5)), 1),2)</f>
        <v>1.36</v>
      </c>
      <c r="AK11" s="4" cm="1">
        <f t="array" ref="AK11">ROUND(_xlfn.QUARTILE.INC(_xlfn._xlws.FILTER($M$2:$M$1000, ($A$2:$A$1000=$AJ6) * ($C$2:$C$1000=AK$8) *  ($B$2:$B$1000&gt;=$AJ$7) * ($B$2:$B$1000&lt;=$AL$7) * (LEFT($D$2:$D$1000,10)=$AJ5)), 1),2)</f>
        <v>1.1399999999999999</v>
      </c>
      <c r="AL11" s="4" cm="1">
        <f t="array" ref="AL11">ROUND(_xlfn.QUARTILE.INC(_xlfn._xlws.FILTER($M$2:$M$1000, ($A$2:$A$1000=$AJ6) * ($C$2:$C$1000=AL$8) *  ($B$2:$B$1000&gt;=$AJ$7) * ($B$2:$B$1000&lt;=$AL$7) * (LEFT($D$2:$D$1000,10)=$AJ5)), 1),2)</f>
        <v>1.37</v>
      </c>
    </row>
    <row r="12" spans="1:41" x14ac:dyDescent="0.25">
      <c r="A12" t="s">
        <v>12</v>
      </c>
      <c r="B12">
        <v>1</v>
      </c>
      <c r="C12" t="s">
        <v>36</v>
      </c>
      <c r="D12" t="s">
        <v>342</v>
      </c>
      <c r="E12" t="s">
        <v>343</v>
      </c>
      <c r="F12" s="1">
        <v>1.2731481481481482E-5</v>
      </c>
      <c r="G12" t="s">
        <v>16</v>
      </c>
      <c r="H12">
        <v>5</v>
      </c>
      <c r="I12">
        <v>173</v>
      </c>
      <c r="J12">
        <v>178</v>
      </c>
      <c r="L12" t="s">
        <v>17</v>
      </c>
      <c r="M12" s="3">
        <f t="shared" si="0"/>
        <v>1.0120003949850798</v>
      </c>
      <c r="O12" t="s">
        <v>632</v>
      </c>
      <c r="P12" s="19" cm="1">
        <f t="array" ref="P12">ROUND(_xlfn.QUARTILE.INC(IF(($A:$A=$P6)*($C:$C=P$8),$M:$M),3),2)</f>
        <v>1.52</v>
      </c>
      <c r="Q12" s="19" cm="1">
        <f t="array" ref="Q12">ROUND(_xlfn.QUARTILE.INC(IF(($A:$A=$P6)*($C:$C=Q$8),$M:$M),3),2)</f>
        <v>1.5</v>
      </c>
      <c r="R12" s="19" cm="1">
        <f t="array" ref="R12">ROUND(_xlfn.QUARTILE.INC(IF(($A:$A=$P6)*($C:$C=R$8),$M:$M),3),2)</f>
        <v>1.51</v>
      </c>
      <c r="T12" t="s">
        <v>632</v>
      </c>
      <c r="U12" s="4" cm="1">
        <f t="array" ref="U12">ROUND(_xlfn.QUARTILE.INC(_xlfn._xlws.FILTER($M$2:$M$1000, ($A$2:$A$1000=$U6) * ($C$2:$C$1000=U$8) * (LEFT($D$2:$D$1000,10)=$U5)), 3),2)</f>
        <v>1.58</v>
      </c>
      <c r="V12" s="4" cm="1">
        <f t="array" ref="V12">ROUND(_xlfn.QUARTILE.INC(_xlfn._xlws.FILTER($M$2:$M$1000, ($A$2:$A$1000=$U6) * ($C$2:$C$1000=V$8) * (LEFT($D$2:$D$1000,10)=$U5)), 3),2)</f>
        <v>1.6</v>
      </c>
      <c r="W12" s="4" cm="1">
        <f t="array" ref="W12">ROUND(_xlfn.QUARTILE.INC(_xlfn._xlws.FILTER($M$2:$M$1000, ($A$2:$A$1000=$U6) * ($C$2:$C$1000=W$8) * (LEFT($D$2:$D$1000,10)=$U5)), 3),2)</f>
        <v>1.45</v>
      </c>
      <c r="Y12" t="s">
        <v>632</v>
      </c>
      <c r="Z12" s="4" cm="1">
        <f t="array" ref="Z12">ROUND(_xlfn.QUARTILE.INC(_xlfn._xlws.FILTER($M$2:$M$1000, ($A$2:$A$1000=$Z6) * ($C$2:$C$1000=Z$8) *  ($B$2:$B$1000&gt;=$Z$7) * ($B$2:$B$1000&lt;=$AB$7) * (LEFT($D$2:$D$1000,10)=$Z5)), 3),2)</f>
        <v>1.57</v>
      </c>
      <c r="AA12" s="4" cm="1">
        <f t="array" ref="AA12">ROUND(_xlfn.QUARTILE.INC(_xlfn._xlws.FILTER($M$2:$M$1000, ($A$2:$A$1000=$Z6) * ($C$2:$C$1000=AA$8) *  ($B$2:$B$1000&gt;=$Z$7) * ($B$2:$B$1000&lt;=$AB$7) * (LEFT($D$2:$D$1000,10)=$Z5)), 3),2)</f>
        <v>1.58</v>
      </c>
      <c r="AB12" s="4" cm="1">
        <f t="array" ref="AB12">ROUND(_xlfn.QUARTILE.INC(_xlfn._xlws.FILTER($M$2:$M$1000, ($A$2:$A$1000=$Z6) * ($C$2:$C$1000=AB$8) *  ($B$2:$B$1000&gt;=$Z$7) * ($B$2:$B$1000&lt;=$AB$7) * (LEFT($D$2:$D$1000,10)=$Z5)), 3),2)</f>
        <v>1.42</v>
      </c>
      <c r="AD12" t="s">
        <v>632</v>
      </c>
      <c r="AE12" s="4" cm="1">
        <f t="array" ref="AE12">ROUND(_xlfn.QUARTILE.INC(_xlfn._xlws.FILTER($M$2:$M$1000, ($A$2:$A$1000=$AE6) * ($C$2:$C$1000=AE$8) * (LEFT($D$2:$D$1000,10)=$AE5)), 3),2)</f>
        <v>1.49</v>
      </c>
      <c r="AF12" s="4" cm="1">
        <f t="array" ref="AF12">ROUND(_xlfn.QUARTILE.INC(_xlfn._xlws.FILTER($M$2:$M$1000, ($A$2:$A$1000=$AE6) * ($C$2:$C$1000=AF$8) * (LEFT($D$2:$D$1000,10)=$AE5)), 3),2)</f>
        <v>1.48</v>
      </c>
      <c r="AG12" s="4" cm="1">
        <f t="array" ref="AG12">ROUND(_xlfn.QUARTILE.INC(_xlfn._xlws.FILTER($M$2:$M$1000, ($A$2:$A$1000=$AE6) * ($C$2:$C$1000=AG$8) * (LEFT($D$2:$D$1000,10)=$AE5)), 3),2)</f>
        <v>1.51</v>
      </c>
      <c r="AI12" t="s">
        <v>632</v>
      </c>
      <c r="AJ12" s="4" cm="1">
        <f t="array" ref="AJ12">ROUND(_xlfn.QUARTILE.INC(_xlfn._xlws.FILTER($M$2:$M$1000, ($A$2:$A$1000=$AJ6) * ($C$2:$C$1000=AJ$8) *  ($B$2:$B$1000&gt;=$AJ$7) * ($B$2:$B$1000&lt;=$AL$7) * (LEFT($D$2:$D$1000,10)=$AJ5)), 3),2)</f>
        <v>1.46</v>
      </c>
      <c r="AK12" s="4" cm="1">
        <f t="array" ref="AK12">ROUND(_xlfn.QUARTILE.INC(_xlfn._xlws.FILTER($M$2:$M$1000, ($A$2:$A$1000=$AJ6) * ($C$2:$C$1000=AK$8) *  ($B$2:$B$1000&gt;=$AJ$7) * ($B$2:$B$1000&lt;=$AL$7) * (LEFT($D$2:$D$1000,10)=$AJ5)), 3),2)</f>
        <v>1.44</v>
      </c>
      <c r="AL12" s="4" cm="1">
        <f t="array" ref="AL12">ROUND(_xlfn.QUARTILE.INC(_xlfn._xlws.FILTER($M$2:$M$1000, ($A$2:$A$1000=$AJ6) * ($C$2:$C$1000=AL$8) *  ($B$2:$B$1000&gt;=$AJ$7) * ($B$2:$B$1000&lt;=$AL$7) * (LEFT($D$2:$D$1000,10)=$AJ5)), 3),2)</f>
        <v>1.51</v>
      </c>
    </row>
    <row r="13" spans="1:41" x14ac:dyDescent="0.25">
      <c r="A13" t="s">
        <v>12</v>
      </c>
      <c r="B13">
        <v>2</v>
      </c>
      <c r="C13" t="s">
        <v>36</v>
      </c>
      <c r="D13" t="s">
        <v>344</v>
      </c>
      <c r="E13" t="s">
        <v>345</v>
      </c>
      <c r="F13" s="1">
        <v>1.3888888888888888E-5</v>
      </c>
      <c r="G13" t="s">
        <v>16</v>
      </c>
      <c r="H13">
        <v>5</v>
      </c>
      <c r="I13">
        <v>173</v>
      </c>
      <c r="J13">
        <v>178</v>
      </c>
      <c r="L13" t="s">
        <v>17</v>
      </c>
      <c r="M13" s="3">
        <f t="shared" si="0"/>
        <v>1.1659996351227164</v>
      </c>
      <c r="O13" t="s">
        <v>664</v>
      </c>
      <c r="P13" s="4">
        <f>ROUND(_xlfn.MINIFS($M:$M, $A:$A, $P6, $C:$C, P$8),2)</f>
        <v>1.1000000000000001</v>
      </c>
      <c r="Q13" s="4">
        <f>ROUND(_xlfn.MINIFS($M:$M, $A:$A, $P6, $C:$C, Q$8),2)</f>
        <v>1.0900000000000001</v>
      </c>
      <c r="R13" s="4">
        <f>ROUND(_xlfn.MINIFS($M:$M, $A:$A, $P6, $C:$C, R$8),2)</f>
        <v>1.1200000000000001</v>
      </c>
      <c r="T13" t="s">
        <v>633</v>
      </c>
      <c r="U13" s="4" cm="1">
        <f t="array" ref="U13">ROUND(MIN(_xlfn._xlws.FILTER($M$2:$M$1000, ($A$2:$A$1000=$U6) * ($C$2:$C$1000=U$8) * (LEFT($D$2:$D$1000,10)=$U5))),2)</f>
        <v>1.2</v>
      </c>
      <c r="V13" s="4" cm="1">
        <f t="array" ref="V13">ROUND(MIN(_xlfn._xlws.FILTER($M$2:$M$1000, ($A$2:$A$1000=$U6) * ($C$2:$C$1000=V$8) * (LEFT($D$2:$D$1000,10)=$U5))),2)</f>
        <v>1.24</v>
      </c>
      <c r="W13" s="4" cm="1">
        <f t="array" ref="W13">ROUND(MIN(_xlfn._xlws.FILTER($M$2:$M$1000, ($A$2:$A$1000=$U6) * ($C$2:$C$1000=W$8) * (LEFT($D$2:$D$1000,10)=$U5))),2)</f>
        <v>1.1200000000000001</v>
      </c>
      <c r="Y13" t="s">
        <v>633</v>
      </c>
      <c r="Z13" s="4" cm="1">
        <f t="array" ref="Z13">ROUND(MIN(_xlfn._xlws.FILTER($M$2:$M$1000, ($A$2:$A$1000=$Z6) * ($C$2:$C$1000=Z$8) *  ($B$2:$B$1000&gt;=$Z$7) * ($B$2:$B$1000&lt;=$AB$7) * (LEFT($D$2:$D$1000,10)=$Z5))),2)</f>
        <v>1.2</v>
      </c>
      <c r="AA13" s="4" cm="1">
        <f t="array" ref="AA13">ROUND(MIN(_xlfn._xlws.FILTER($M$2:$M$1000, ($A$2:$A$1000=$Z6) * ($C$2:$C$1000=AA$8) *  ($B$2:$B$1000&gt;=$Z$7) * ($B$2:$B$1000&lt;=$AB$7) * (LEFT($D$2:$D$1000,10)=$Z5))),2)</f>
        <v>1.24</v>
      </c>
      <c r="AB13" s="4" cm="1">
        <f t="array" ref="AB13">ROUND(MIN(_xlfn._xlws.FILTER($M$2:$M$1000, ($A$2:$A$1000=$Z6) * ($C$2:$C$1000=AB$8) *  ($B$2:$B$1000&gt;=$Z$7) * ($B$2:$B$1000&lt;=$AB$7) * (LEFT($D$2:$D$1000,10)=$Z5))),2)</f>
        <v>1.1200000000000001</v>
      </c>
      <c r="AD13" t="s">
        <v>633</v>
      </c>
      <c r="AE13" s="4" cm="1">
        <f t="array" ref="AE13">ROUND(MIN(_xlfn._xlws.FILTER($M$2:$M$1000, ($A$2:$A$1000=$AE6) * ($C$2:$C$1000=AE$8) * (LEFT($D$2:$D$1000,10)=$AE5))),2)</f>
        <v>1.1000000000000001</v>
      </c>
      <c r="AF13" s="4" cm="1">
        <f t="array" ref="AF13">ROUND(MIN(_xlfn._xlws.FILTER($M$2:$M$1000, ($A$2:$A$1000=$AE6) * ($C$2:$C$1000=AF$8) * (LEFT($D$2:$D$1000,10)=$AE5))),2)</f>
        <v>1.0900000000000001</v>
      </c>
      <c r="AG13" s="4" cm="1">
        <f t="array" ref="AG13">ROUND(MIN(_xlfn._xlws.FILTER($M$2:$M$1000, ($A$2:$A$1000=$AE6) * ($C$2:$C$1000=AG$8) * (LEFT($D$2:$D$1000,10)=$AE5))),2)</f>
        <v>1.2</v>
      </c>
      <c r="AI13" t="s">
        <v>633</v>
      </c>
      <c r="AJ13" s="4" cm="1">
        <f t="array" ref="AJ13">ROUND(MIN(_xlfn._xlws.FILTER($M$2:$M$1000, ($A$2:$A$1000=$AJ6) * ($C$2:$C$1000=AJ$8) *  ($B$2:$B$1000&gt;=$AJ$7) * ($B$2:$B$1000&lt;=$AL$7) * (LEFT($D$2:$D$1000,10)=$AJ5))),2)</f>
        <v>1.1100000000000001</v>
      </c>
      <c r="AK13" s="4" cm="1">
        <f t="array" ref="AK13">ROUND(MIN(_xlfn._xlws.FILTER($M$2:$M$1000, ($A$2:$A$1000=$AJ6) * ($C$2:$C$1000=AK$8) *  ($B$2:$B$1000&gt;=$AJ$7) * ($B$2:$B$1000&lt;=$AL$7) * (LEFT($D$2:$D$1000,10)=$AJ5))),2)</f>
        <v>1.0900000000000001</v>
      </c>
      <c r="AL13" s="4" cm="1">
        <f t="array" ref="AL13">ROUND(MIN(_xlfn._xlws.FILTER($M$2:$M$1000, ($A$2:$A$1000=$AJ6) * ($C$2:$C$1000=AL$8) *  ($B$2:$B$1000&gt;=$AJ$7) * ($B$2:$B$1000&lt;=$AL$7) * (LEFT($D$2:$D$1000,10)=$AJ5))),2)</f>
        <v>1.2</v>
      </c>
    </row>
    <row r="14" spans="1:41" x14ac:dyDescent="0.25">
      <c r="A14" t="s">
        <v>12</v>
      </c>
      <c r="B14">
        <v>3</v>
      </c>
      <c r="C14" t="s">
        <v>36</v>
      </c>
      <c r="D14" t="s">
        <v>346</v>
      </c>
      <c r="E14" t="s">
        <v>347</v>
      </c>
      <c r="F14" s="1">
        <v>1.6203703703703704E-5</v>
      </c>
      <c r="G14" t="s">
        <v>16</v>
      </c>
      <c r="H14">
        <v>5</v>
      </c>
      <c r="I14">
        <v>173</v>
      </c>
      <c r="J14">
        <v>178</v>
      </c>
      <c r="L14" t="s">
        <v>17</v>
      </c>
      <c r="M14" s="3">
        <f t="shared" si="0"/>
        <v>1.0430000256747007</v>
      </c>
      <c r="O14" t="s">
        <v>665</v>
      </c>
      <c r="P14" s="4">
        <f>ROUND(_xlfn.MAXIFS($M:$M, $A:$A, $P6, $C:$C, P$8),2)</f>
        <v>2.2200000000000002</v>
      </c>
      <c r="Q14" s="4">
        <f>ROUND(_xlfn.MAXIFS($M:$M, $A:$A, $P6, $C:$C, Q$8),2)</f>
        <v>1.72</v>
      </c>
      <c r="R14" s="4">
        <f>ROUND(_xlfn.MAXIFS($M:$M, $A:$A, $P6, $C:$C, R$8),2)</f>
        <v>1.85</v>
      </c>
      <c r="T14" t="s">
        <v>634</v>
      </c>
      <c r="U14" s="4" cm="1">
        <f t="array" ref="U14">ROUND(MAX(_xlfn._xlws.FILTER($M$2:$M$1000, ($A$2:$A$1000=$U6) * ($C$2:$C$1000=U$8) * (LEFT($D$2:$D$1000,10)=$U5))),2)</f>
        <v>2.2200000000000002</v>
      </c>
      <c r="V14" s="4" cm="1">
        <f t="array" ref="V14">ROUND(MAX(_xlfn._xlws.FILTER($M$2:$M$1000, ($A$2:$A$1000=$U6) * ($C$2:$C$1000=V$8) * (LEFT($D$2:$D$1000,10)=$U5))),2)</f>
        <v>1.72</v>
      </c>
      <c r="W14" s="4" cm="1">
        <f t="array" ref="W14">ROUND(MAX(_xlfn._xlws.FILTER($M$2:$M$1000, ($A$2:$A$1000=$U6) * ($C$2:$C$1000=W$8) * (LEFT($D$2:$D$1000,10)=$U5))),2)</f>
        <v>1.85</v>
      </c>
      <c r="Y14" t="s">
        <v>634</v>
      </c>
      <c r="Z14" s="4" cm="1">
        <f t="array" ref="Z14">ROUND(MAX(_xlfn._xlws.FILTER($M$2:$M$1000, ($A$2:$A$1000=$Z6) * ($C$2:$C$1000=Z$8) *  ($B$2:$B$1000&gt;=$Z$7) * ($B$2:$B$1000&lt;=$AB$7) * (LEFT($D$2:$D$1000,10)=$Z5))),2)</f>
        <v>1.83</v>
      </c>
      <c r="AA14" s="4" cm="1">
        <f t="array" ref="AA14">ROUND(MAX(_xlfn._xlws.FILTER($M$2:$M$1000, ($A$2:$A$1000=$Z6) * ($C$2:$C$1000=AA$8) *  ($B$2:$B$1000&gt;=$Z$7) * ($B$2:$B$1000&lt;=$AB$7) * (LEFT($D$2:$D$1000,10)=$Z5))),2)</f>
        <v>1.72</v>
      </c>
      <c r="AB14" s="4" cm="1">
        <f t="array" ref="AB14">ROUND(MAX(_xlfn._xlws.FILTER($M$2:$M$1000, ($A$2:$A$1000=$Z6) * ($C$2:$C$1000=AB$8) *  ($B$2:$B$1000&gt;=$Z$7) * ($B$2:$B$1000&lt;=$AB$7) * (LEFT($D$2:$D$1000,10)=$Z5))),2)</f>
        <v>1.7</v>
      </c>
      <c r="AD14" t="s">
        <v>634</v>
      </c>
      <c r="AE14" s="4" cm="1">
        <f t="array" ref="AE14">ROUND(MAX(_xlfn._xlws.FILTER($M$2:$M$1000, ($A$2:$A$1000=$AE6) * ($C$2:$C$1000=AE$8) * (LEFT($D$2:$D$1000,10)=$AE5))),2)</f>
        <v>1.52</v>
      </c>
      <c r="AF14" s="4" cm="1">
        <f t="array" ref="AF14">ROUND(MAX(_xlfn._xlws.FILTER($M$2:$M$1000, ($A$2:$A$1000=$AE6) * ($C$2:$C$1000=AF$8) * (LEFT($D$2:$D$1000,10)=$AE5))),2)</f>
        <v>1.69</v>
      </c>
      <c r="AG14" s="4" cm="1">
        <f t="array" ref="AG14">ROUND(MAX(_xlfn._xlws.FILTER($M$2:$M$1000, ($A$2:$A$1000=$AE6) * ($C$2:$C$1000=AG$8) * (LEFT($D$2:$D$1000,10)=$AE5))),2)</f>
        <v>1.55</v>
      </c>
      <c r="AI14" t="s">
        <v>634</v>
      </c>
      <c r="AJ14" s="4" cm="1">
        <f t="array" ref="AJ14">ROUND(MAX(_xlfn._xlws.FILTER($M$2:$M$1000, ($A$2:$A$1000=$AJ6) * ($C$2:$C$1000=AJ$8) *  ($B$2:$B$1000&gt;=$AJ$7) * ($B$2:$B$1000&lt;=$AL$7) * (LEFT($D$2:$D$1000,10)=$AJ5))),2)</f>
        <v>1.52</v>
      </c>
      <c r="AK14" s="4" cm="1">
        <f t="array" ref="AK14">ROUND(MAX(_xlfn._xlws.FILTER($M$2:$M$1000, ($A$2:$A$1000=$AJ6) * ($C$2:$C$1000=AK$8) *  ($B$2:$B$1000&gt;=$AJ$7) * ($B$2:$B$1000&lt;=$AL$7) * (LEFT($D$2:$D$1000,10)=$AJ5))),2)</f>
        <v>1.48</v>
      </c>
      <c r="AL14" s="4" cm="1">
        <f t="array" ref="AL14">ROUND(MAX(_xlfn._xlws.FILTER($M$2:$M$1000, ($A$2:$A$1000=$AJ6) * ($C$2:$C$1000=AL$8) *  ($B$2:$B$1000&gt;=$AJ$7) * ($B$2:$B$1000&lt;=$AL$7) * (LEFT($D$2:$D$1000,10)=$AJ5))),2)</f>
        <v>1.55</v>
      </c>
    </row>
    <row r="15" spans="1:41" x14ac:dyDescent="0.25">
      <c r="A15" t="s">
        <v>12</v>
      </c>
      <c r="B15">
        <v>4</v>
      </c>
      <c r="C15" t="s">
        <v>36</v>
      </c>
      <c r="D15" t="s">
        <v>348</v>
      </c>
      <c r="E15" t="s">
        <v>349</v>
      </c>
      <c r="F15" s="1">
        <v>1.2731481481481482E-5</v>
      </c>
      <c r="G15" t="s">
        <v>16</v>
      </c>
      <c r="H15">
        <v>5</v>
      </c>
      <c r="I15">
        <v>173</v>
      </c>
      <c r="J15">
        <v>178</v>
      </c>
      <c r="L15" t="s">
        <v>17</v>
      </c>
      <c r="M15" s="3">
        <f t="shared" si="0"/>
        <v>1.0100000537931919</v>
      </c>
      <c r="O15" t="s">
        <v>663</v>
      </c>
      <c r="P15" s="4" cm="1">
        <f t="array" ref="P15">ROUND(_xlfn.STDEV.S(IF(($A:$A=$P6)*($C:$C=P$8), $M:$M)),2)</f>
        <v>0.25</v>
      </c>
      <c r="Q15" s="4" cm="1">
        <f t="array" ref="Q15">ROUND(_xlfn.STDEV.S(IF(($A:$A=$P6)*($C:$C=Q$8), $M:$M)),2)</f>
        <v>0.19</v>
      </c>
      <c r="R15" s="4" cm="1">
        <f t="array" ref="R15">ROUND(_xlfn.STDEV.S(IF(($A:$A=$P6)*($C:$C=R$8), $M:$M)),2)</f>
        <v>0.18</v>
      </c>
      <c r="T15" t="s">
        <v>663</v>
      </c>
      <c r="U15" s="4" cm="1">
        <f t="array" ref="U15">ROUND(_xlfn.STDEV.P(_xlfn._xlws.FILTER($M$2:$M$1000, ($A$2:$A$1000=$U6) * ($C$2:$C$1000=U$8) * (LEFT($D$2:$D$1000,10)=$U5))),2)</f>
        <v>0.28000000000000003</v>
      </c>
      <c r="V15" s="4" cm="1">
        <f t="array" ref="V15">ROUND(_xlfn.STDEV.P(_xlfn._xlws.FILTER($M$2:$M$1000, ($A$2:$A$1000=$U6) * ($C$2:$C$1000=V$8) * (LEFT($D$2:$D$1000,10)=$U5))),2)</f>
        <v>0.16</v>
      </c>
      <c r="W15" s="4" cm="1">
        <f t="array" ref="W15">ROUND(_xlfn.STDEV.P(_xlfn._xlws.FILTER($M$2:$M$1000, ($A$2:$A$1000=$U6) * ($C$2:$C$1000=W$8) * (LEFT($D$2:$D$1000,10)=$U5))),2)</f>
        <v>0.21</v>
      </c>
      <c r="Y15" t="s">
        <v>663</v>
      </c>
      <c r="Z15" s="4" cm="1">
        <f t="array" ref="Z15">ROUND(_xlfn.STDEV.P(_xlfn._xlws.FILTER($M$2:$M$1000, ($A$2:$A$1000=$Z6) * ($C$2:$C$1000=Z$8) *  ($B$2:$B$1000&gt;=$Z$7) * ($B$2:$B$1000&lt;=$AB$7) * (LEFT($D$2:$D$1000,10)=$Z5))),2)</f>
        <v>0.19</v>
      </c>
      <c r="AA15" s="4" cm="1">
        <f t="array" ref="AA15">ROUND(_xlfn.STDEV.P(_xlfn._xlws.FILTER($M$2:$M$1000, ($A$2:$A$1000=$Z6) * ($C$2:$C$1000=AA$8) *  ($B$2:$B$1000&gt;=$Z$7) * ($B$2:$B$1000&lt;=$AB$7) * (LEFT($D$2:$D$1000,10)=$Z5))),2)</f>
        <v>0.16</v>
      </c>
      <c r="AB15" s="4" cm="1">
        <f t="array" ref="AB15">ROUND(_xlfn.STDEV.P(_xlfn._xlws.FILTER($M$2:$M$1000, ($A$2:$A$1000=$Z6) * ($C$2:$C$1000=AB$8) *  ($B$2:$B$1000&gt;=$Z$7) * ($B$2:$B$1000&lt;=$AB$7) * (LEFT($D$2:$D$1000,10)=$Z5))),2)</f>
        <v>0.16</v>
      </c>
      <c r="AD15" t="s">
        <v>663</v>
      </c>
      <c r="AE15" s="4" cm="1">
        <f t="array" ref="AE15">ROUND(_xlfn.STDEV.P(_xlfn._xlws.FILTER($M$2:$M$1000, ($A$2:$A$1000=$AE6) * ($C$2:$C$1000=AE$8) * (LEFT($D$2:$D$1000,10)=$AE5))),2)</f>
        <v>0.16</v>
      </c>
      <c r="AF15" s="4" cm="1">
        <f t="array" ref="AF15">ROUND(_xlfn.STDEV.P(_xlfn._xlws.FILTER($M$2:$M$1000, ($A$2:$A$1000=$AE6) * ($C$2:$C$1000=AF$8) * (LEFT($D$2:$D$1000,10)=$AE5))),2)</f>
        <v>0.19</v>
      </c>
      <c r="AG15" s="4" cm="1">
        <f t="array" ref="AG15">ROUND(_xlfn.STDEV.P(_xlfn._xlws.FILTER($M$2:$M$1000, ($A$2:$A$1000=$AE6) * ($C$2:$C$1000=AG$8) * (LEFT($D$2:$D$1000,10)=$AE5))),2)</f>
        <v>0.12</v>
      </c>
      <c r="AI15" t="s">
        <v>663</v>
      </c>
      <c r="AJ15" s="4" cm="1">
        <f t="array" ref="AJ15">ROUND(_xlfn.STDEV.P(_xlfn._xlws.FILTER($M$2:$M$1000, ($A$2:$A$1000=$AJ6) * ($C$2:$C$1000=AJ$8) *  ($B$2:$B$1000&gt;=$AJ$7) * ($B$2:$B$1000&lt;=$AL$7) * (LEFT($D$2:$D$1000,10)=$AJ5))),2)</f>
        <v>0.14000000000000001</v>
      </c>
      <c r="AK15" s="4" cm="1">
        <f t="array" ref="AK15">ROUND(_xlfn.STDEV.P(_xlfn._xlws.FILTER($M$2:$M$1000, ($A$2:$A$1000=$AJ6) * ($C$2:$C$1000=AK$8) *  ($B$2:$B$1000&gt;=$AJ$7) * ($B$2:$B$1000&lt;=$AL$7) * (LEFT($D$2:$D$1000,10)=$AJ5))),2)</f>
        <v>0.16</v>
      </c>
      <c r="AL15" s="4" cm="1">
        <f t="array" ref="AL15">ROUND(_xlfn.STDEV.P(_xlfn._xlws.FILTER($M$2:$M$1000, ($A$2:$A$1000=$AJ6) * ($C$2:$C$1000=AL$8) *  ($B$2:$B$1000&gt;=$AJ$7) * ($B$2:$B$1000&lt;=$AL$7) * (LEFT($D$2:$D$1000,10)=$AJ5))),2)</f>
        <v>0.11</v>
      </c>
    </row>
    <row r="16" spans="1:41" x14ac:dyDescent="0.25">
      <c r="A16" t="s">
        <v>12</v>
      </c>
      <c r="B16">
        <v>5</v>
      </c>
      <c r="C16" t="s">
        <v>36</v>
      </c>
      <c r="D16" t="s">
        <v>350</v>
      </c>
      <c r="E16" t="s">
        <v>351</v>
      </c>
      <c r="F16" s="1">
        <v>1.6203703703703704E-5</v>
      </c>
      <c r="G16" t="s">
        <v>16</v>
      </c>
      <c r="H16">
        <v>5</v>
      </c>
      <c r="I16">
        <v>173</v>
      </c>
      <c r="J16">
        <v>178</v>
      </c>
      <c r="L16" t="s">
        <v>17</v>
      </c>
      <c r="M16" s="3">
        <f t="shared" si="0"/>
        <v>1.0430000256747007</v>
      </c>
      <c r="O16" t="s">
        <v>384</v>
      </c>
      <c r="P16" s="4" cm="1">
        <f t="array" ref="P16">ROUND(_xlfn.PERCENTILE.INC(IF(($A:$A=$P6)*($C:$C=P$8), $M:$M), 0.9),2)</f>
        <v>1.61</v>
      </c>
      <c r="Q16" s="4" cm="1">
        <f t="array" ref="Q16">ROUND(_xlfn.PERCENTILE.INC(IF(($A:$A=$P6)*($C:$C=Q$8), $M:$M), 0.9),2)</f>
        <v>1.64</v>
      </c>
      <c r="R16" s="4" cm="1">
        <f t="array" ref="R16">ROUND(_xlfn.PERCENTILE.INC(IF(($A:$A=$P6)*($C:$C=R$8), $M:$M), 0.9),2)</f>
        <v>1.57</v>
      </c>
      <c r="T16" t="s">
        <v>384</v>
      </c>
      <c r="U16" s="4" cm="1">
        <f t="array" ref="U16">ROUND(_xlfn.PERCENTILE.INC(_xlfn._xlws.FILTER($M$2:$M$1000, ($A$2:$A$1000=$U6) * ($C$2:$C$1000=U$8) * (LEFT($D$2:$D$1000,10)=$U5)), 0.9),2)</f>
        <v>1.87</v>
      </c>
      <c r="V16" s="4" cm="1">
        <f t="array" ref="V16">ROUND(_xlfn.PERCENTILE.INC(_xlfn._xlws.FILTER($M$2:$M$1000, ($A$2:$A$1000=$U6) * ($C$2:$C$1000=V$8) * (LEFT($D$2:$D$1000,10)=$U5)), 0.9),2)</f>
        <v>1.64</v>
      </c>
      <c r="W16" s="4" cm="1">
        <f t="array" ref="W16">ROUND(_xlfn.PERCENTILE.INC(_xlfn._xlws.FILTER($M$2:$M$1000, ($A$2:$A$1000=$U6) * ($C$2:$C$1000=W$8) * (LEFT($D$2:$D$1000,10)=$U5)), 0.9),2)</f>
        <v>1.72</v>
      </c>
      <c r="Y16" t="s">
        <v>384</v>
      </c>
      <c r="Z16" s="4" cm="1">
        <f t="array" ref="Z16">ROUND(_xlfn.PERCENTILE.INC(_xlfn._xlws.FILTER($M$2:$M$1000, ($A$2:$A$1000=$Z6) * ($C$2:$C$1000=Z$8) *  ($B$2:$B$1000&gt;=$Z$7) * ($B$2:$B$1000&lt;=$AB$7) * (LEFT($D$2:$D$1000,10)=$Z5)), 0.9),2)</f>
        <v>1.66</v>
      </c>
      <c r="AA16" s="4" cm="1">
        <f t="array" ref="AA16">ROUND(_xlfn.PERCENTILE.INC(_xlfn._xlws.FILTER($M$2:$M$1000, ($A$2:$A$1000=$Z6) * ($C$2:$C$1000=AA$8) *  ($B$2:$B$1000&gt;=$Z$7) * ($B$2:$B$1000&lt;=$AB$7) * (LEFT($D$2:$D$1000,10)=$Z5)), 0.9),2)</f>
        <v>1.66</v>
      </c>
      <c r="AB16" s="4" cm="1">
        <f t="array" ref="AB16">ROUND(_xlfn.PERCENTILE.INC(_xlfn._xlws.FILTER($M$2:$M$1000, ($A$2:$A$1000=$Z6) * ($C$2:$C$1000=AB$8) *  ($B$2:$B$1000&gt;=$Z$7) * ($B$2:$B$1000&lt;=$AB$7) * (LEFT($D$2:$D$1000,10)=$Z5)), 0.9),2)</f>
        <v>1.53</v>
      </c>
      <c r="AD16" t="s">
        <v>384</v>
      </c>
      <c r="AE16" s="4" cm="1">
        <f t="array" ref="AE16">ROUND(_xlfn.PERCENTILE.INC(_xlfn._xlws.FILTER($M$2:$M$1000, ($A$2:$A$1000=$AE6) * ($C$2:$C$1000=AE$8) * (LEFT($D$2:$D$1000,10)=$AE5)), 0.9),2)</f>
        <v>1.51</v>
      </c>
      <c r="AF16" s="4" cm="1">
        <f t="array" ref="AF16">ROUND(_xlfn.PERCENTILE.INC(_xlfn._xlws.FILTER($M$2:$M$1000, ($A$2:$A$1000=$AE6) * ($C$2:$C$1000=AF$8) * (LEFT($D$2:$D$1000,10)=$AE5)), 0.9),2)</f>
        <v>1.5</v>
      </c>
      <c r="AG16" s="4" cm="1">
        <f t="array" ref="AG16">ROUND(_xlfn.PERCENTILE.INC(_xlfn._xlws.FILTER($M$2:$M$1000, ($A$2:$A$1000=$AE6) * ($C$2:$C$1000=AG$8) * (LEFT($D$2:$D$1000,10)=$AE5)), 0.9),2)</f>
        <v>1.52</v>
      </c>
      <c r="AI16" t="s">
        <v>384</v>
      </c>
      <c r="AJ16" s="4" cm="1">
        <f t="array" ref="AJ16">ROUND(_xlfn.PERCENTILE.INC(_xlfn._xlws.FILTER($M$2:$M$1000, ($A$2:$A$1000=$AJ6) * ($C$2:$C$1000=AJ$8) *  ($B$2:$B$1000&gt;=$AJ$7) * ($B$2:$B$1000&lt;=$AL$7) * (LEFT($D$2:$D$1000,10)=$AJ5)), 0.9),2)</f>
        <v>1.51</v>
      </c>
      <c r="AK16" s="4" cm="1">
        <f t="array" ref="AK16">ROUND(_xlfn.PERCENTILE.INC(_xlfn._xlws.FILTER($M$2:$M$1000, ($A$2:$A$1000=$AJ6) * ($C$2:$C$1000=AK$8) *  ($B$2:$B$1000&gt;=$AJ$7) * ($B$2:$B$1000&lt;=$AL$7) * (LEFT($D$2:$D$1000,10)=$AJ5)), 0.9),2)</f>
        <v>1.47</v>
      </c>
      <c r="AL16" s="4" cm="1">
        <f t="array" ref="AL16">ROUND(_xlfn.PERCENTILE.INC(_xlfn._xlws.FILTER($M$2:$M$1000, ($A$2:$A$1000=$AJ6) * ($C$2:$C$1000=AL$8) *  ($B$2:$B$1000&gt;=$AJ$7) * ($B$2:$B$1000&lt;=$AL$7) * (LEFT($D$2:$D$1000,10)=$AJ5)), 0.9),2)</f>
        <v>1.53</v>
      </c>
    </row>
    <row r="17" spans="1:38" x14ac:dyDescent="0.25">
      <c r="A17" t="s">
        <v>12</v>
      </c>
      <c r="B17">
        <v>6</v>
      </c>
      <c r="C17" t="s">
        <v>36</v>
      </c>
      <c r="D17" t="s">
        <v>352</v>
      </c>
      <c r="E17" t="s">
        <v>353</v>
      </c>
      <c r="F17" s="1">
        <v>1.9675925925925925E-5</v>
      </c>
      <c r="G17" t="s">
        <v>16</v>
      </c>
      <c r="H17">
        <v>5</v>
      </c>
      <c r="I17">
        <v>173</v>
      </c>
      <c r="J17">
        <v>178</v>
      </c>
      <c r="L17" t="s">
        <v>17</v>
      </c>
      <c r="M17" s="3">
        <f t="shared" si="0"/>
        <v>1.0670003481209278</v>
      </c>
      <c r="O17" t="s">
        <v>635</v>
      </c>
      <c r="P17" s="4" cm="1">
        <f t="array" ref="P17">ROUND(_xlfn.PERCENTILE.INC(IF(($A:$A=$P6)*($C:$C=P$8), $M:$M), 0.95),2)</f>
        <v>1.85</v>
      </c>
      <c r="Q17" s="4" cm="1">
        <f t="array" ref="Q17">ROUND(_xlfn.PERCENTILE.INC(IF(($A:$A=$P6)*($C:$C=Q$8), $M:$M), 0.95),2)</f>
        <v>1.7</v>
      </c>
      <c r="R17" s="4" cm="1">
        <f t="array" ref="R17">ROUND(_xlfn.PERCENTILE.INC(IF(($A:$A=$P6)*($C:$C=R$8), $M:$M), 0.95),2)</f>
        <v>1.71</v>
      </c>
      <c r="T17" t="s">
        <v>635</v>
      </c>
      <c r="U17" s="4" cm="1">
        <f t="array" ref="U17">ROUND(_xlfn.PERCENTILE.INC(_xlfn._xlws.FILTER($M$2:$M$1000, ($A$2:$A$1000=$U6) * ($C$2:$C$1000=U$8) * (LEFT($D$2:$D$1000,10)=$U5)), 0.95),2)</f>
        <v>2.0499999999999998</v>
      </c>
      <c r="V17" s="4" cm="1">
        <f t="array" ref="V17">ROUND(_xlfn.PERCENTILE.INC(_xlfn._xlws.FILTER($M$2:$M$1000, ($A$2:$A$1000=$U6) * ($C$2:$C$1000=V$8) * (LEFT($D$2:$D$1000,10)=$U5)), 0.95),2)</f>
        <v>1.68</v>
      </c>
      <c r="W17" s="4" cm="1">
        <f t="array" ref="W17">ROUND(_xlfn.PERCENTILE.INC(_xlfn._xlws.FILTER($M$2:$M$1000, ($A$2:$A$1000=$U6) * ($C$2:$C$1000=W$8) * (LEFT($D$2:$D$1000,10)=$U5)), 0.95),2)</f>
        <v>1.79</v>
      </c>
      <c r="Y17" t="s">
        <v>635</v>
      </c>
      <c r="Z17" s="4" cm="1">
        <f t="array" ref="Z17">ROUND(_xlfn.PERCENTILE.INC(_xlfn._xlws.FILTER($M$2:$M$1000, ($A$2:$A$1000=$Z6) * ($C$2:$C$1000=Z$8) *  ($B$2:$B$1000&gt;=$Z$7) * ($B$2:$B$1000&lt;=$AB$7) * (LEFT($D$2:$D$1000,10)=$Z5)), 0.95),2)</f>
        <v>1.75</v>
      </c>
      <c r="AA17" s="4" cm="1">
        <f t="array" ref="AA17">ROUND(_xlfn.PERCENTILE.INC(_xlfn._xlws.FILTER($M$2:$M$1000, ($A$2:$A$1000=$Z6) * ($C$2:$C$1000=AA$8) *  ($B$2:$B$1000&gt;=$Z$7) * ($B$2:$B$1000&lt;=$AB$7) * (LEFT($D$2:$D$1000,10)=$Z5)), 0.95),2)</f>
        <v>1.69</v>
      </c>
      <c r="AB17" s="4" cm="1">
        <f t="array" ref="AB17">ROUND(_xlfn.PERCENTILE.INC(_xlfn._xlws.FILTER($M$2:$M$1000, ($A$2:$A$1000=$Z6) * ($C$2:$C$1000=AB$8) *  ($B$2:$B$1000&gt;=$Z$7) * ($B$2:$B$1000&lt;=$AB$7) * (LEFT($D$2:$D$1000,10)=$Z5)), 0.95),2)</f>
        <v>1.62</v>
      </c>
      <c r="AD17" t="s">
        <v>635</v>
      </c>
      <c r="AE17" s="4" cm="1">
        <f t="array" ref="AE17">ROUND(_xlfn.PERCENTILE.INC(_xlfn._xlws.FILTER($M$2:$M$1000, ($A$2:$A$1000=$AE6) * ($C$2:$C$1000=AE$8) * (LEFT($D$2:$D$1000,10)=$AE5)), 0.95),2)</f>
        <v>1.51</v>
      </c>
      <c r="AF17" s="4" cm="1">
        <f t="array" ref="AF17">ROUND(_xlfn.PERCENTILE.INC(_xlfn._xlws.FILTER($M$2:$M$1000, ($A$2:$A$1000=$AE6) * ($C$2:$C$1000=AF$8) * (LEFT($D$2:$D$1000,10)=$AE5)), 0.95),2)</f>
        <v>1.6</v>
      </c>
      <c r="AG17" s="4" cm="1">
        <f t="array" ref="AG17">ROUND(_xlfn.PERCENTILE.INC(_xlfn._xlws.FILTER($M$2:$M$1000, ($A$2:$A$1000=$AE6) * ($C$2:$C$1000=AG$8) * (LEFT($D$2:$D$1000,10)=$AE5)), 0.95),2)</f>
        <v>1.53</v>
      </c>
      <c r="AI17" t="s">
        <v>635</v>
      </c>
      <c r="AJ17" s="4" cm="1">
        <f t="array" ref="AJ17">ROUND(_xlfn.PERCENTILE.INC(_xlfn._xlws.FILTER($M$2:$M$1000, ($A$2:$A$1000=$AJ6) * ($C$2:$C$1000=AJ$8) *  ($B$2:$B$1000&gt;=$AJ$7) * ($B$2:$B$1000&lt;=$AL$7) * (LEFT($D$2:$D$1000,10)=$AJ5)), 0.95),2)</f>
        <v>1.51</v>
      </c>
      <c r="AK17" s="4" cm="1">
        <f t="array" ref="AK17">ROUND(_xlfn.PERCENTILE.INC(_xlfn._xlws.FILTER($M$2:$M$1000, ($A$2:$A$1000=$AJ6) * ($C$2:$C$1000=AK$8) *  ($B$2:$B$1000&gt;=$AJ$7) * ($B$2:$B$1000&lt;=$AL$7) * (LEFT($D$2:$D$1000,10)=$AJ5)), 0.95),2)</f>
        <v>1.48</v>
      </c>
      <c r="AL17" s="4" cm="1">
        <f t="array" ref="AL17">ROUND(_xlfn.PERCENTILE.INC(_xlfn._xlws.FILTER($M$2:$M$1000, ($A$2:$A$1000=$AJ6) * ($C$2:$C$1000=AL$8) *  ($B$2:$B$1000&gt;=$AJ$7) * ($B$2:$B$1000&lt;=$AL$7) * (LEFT($D$2:$D$1000,10)=$AJ5)), 0.95),2)</f>
        <v>1.54</v>
      </c>
    </row>
    <row r="18" spans="1:38" x14ac:dyDescent="0.25">
      <c r="A18" t="s">
        <v>12</v>
      </c>
      <c r="B18">
        <v>7</v>
      </c>
      <c r="C18" t="s">
        <v>36</v>
      </c>
      <c r="D18" t="s">
        <v>354</v>
      </c>
      <c r="E18" t="s">
        <v>355</v>
      </c>
      <c r="F18" s="1">
        <v>1.2731481481481482E-5</v>
      </c>
      <c r="G18" t="s">
        <v>16</v>
      </c>
      <c r="H18">
        <v>5</v>
      </c>
      <c r="I18">
        <v>173</v>
      </c>
      <c r="J18">
        <v>178</v>
      </c>
      <c r="L18" t="s">
        <v>17</v>
      </c>
      <c r="M18" s="3">
        <f t="shared" si="0"/>
        <v>1.0129999369382858</v>
      </c>
      <c r="O18" t="s">
        <v>385</v>
      </c>
      <c r="P18" s="4" cm="1">
        <f t="array" ref="P18">ROUND(_xlfn.PERCENTILE.INC(IF(($A:$A=$P6)*($C:$C=P$8), $M:$M), 0.99),2)</f>
        <v>2.15</v>
      </c>
      <c r="Q18" s="4" cm="1">
        <f t="array" ref="Q18">ROUND(_xlfn.PERCENTILE.INC(IF(($A:$A=$P6)*($C:$C=Q$8), $M:$M), 0.99),2)</f>
        <v>1.71</v>
      </c>
      <c r="R18" s="4" cm="1">
        <f t="array" ref="R18">ROUND(_xlfn.PERCENTILE.INC(IF(($A:$A=$P6)*($C:$C=R$8), $M:$M), 0.99),2)</f>
        <v>1.83</v>
      </c>
      <c r="T18" t="s">
        <v>385</v>
      </c>
      <c r="U18" s="4" cm="1">
        <f t="array" ref="U18">ROUND(_xlfn.PERCENTILE.INC(_xlfn._xlws.FILTER($M$2:$M$1000, ($A$2:$A$1000=$U6) * ($C$2:$C$1000=U$8) * (LEFT($D$2:$D$1000,10)=$U5)), 0.99),2)</f>
        <v>2.19</v>
      </c>
      <c r="V18" s="4" cm="1">
        <f t="array" ref="V18">ROUND(_xlfn.PERCENTILE.INC(_xlfn._xlws.FILTER($M$2:$M$1000, ($A$2:$A$1000=$U6) * ($C$2:$C$1000=V$8) * (LEFT($D$2:$D$1000,10)=$U5)), 0.99),2)</f>
        <v>1.71</v>
      </c>
      <c r="W18" s="4" cm="1">
        <f t="array" ref="W18">ROUND(_xlfn.PERCENTILE.INC(_xlfn._xlws.FILTER($M$2:$M$1000, ($A$2:$A$1000=$U6) * ($C$2:$C$1000=W$8) * (LEFT($D$2:$D$1000,10)=$U5)), 0.99),2)</f>
        <v>1.84</v>
      </c>
      <c r="Y18" t="s">
        <v>385</v>
      </c>
      <c r="Z18" s="4" cm="1">
        <f t="array" ref="Z18">ROUND(_xlfn.PERCENTILE.INC(_xlfn._xlws.FILTER($M$2:$M$1000, ($A$2:$A$1000=$Z6) * ($C$2:$C$1000=Z$8) *  ($B$2:$B$1000&gt;=$Z$7) * ($B$2:$B$1000&lt;=$AB$7) * (LEFT($D$2:$D$1000,10)=$Z5)), 0.99),2)</f>
        <v>1.81</v>
      </c>
      <c r="AA18" s="4" cm="1">
        <f t="array" ref="AA18">ROUND(_xlfn.PERCENTILE.INC(_xlfn._xlws.FILTER($M$2:$M$1000, ($A$2:$A$1000=$Z6) * ($C$2:$C$1000=AA$8) *  ($B$2:$B$1000&gt;=$Z$7) * ($B$2:$B$1000&lt;=$AB$7) * (LEFT($D$2:$D$1000,10)=$Z5)), 0.99),2)</f>
        <v>1.71</v>
      </c>
      <c r="AB18" s="4" cm="1">
        <f t="array" ref="AB18">ROUND(_xlfn.PERCENTILE.INC(_xlfn._xlws.FILTER($M$2:$M$1000, ($A$2:$A$1000=$Z6) * ($C$2:$C$1000=AB$8) *  ($B$2:$B$1000&gt;=$Z$7) * ($B$2:$B$1000&lt;=$AB$7) * (LEFT($D$2:$D$1000,10)=$Z5)), 0.99),2)</f>
        <v>1.68</v>
      </c>
      <c r="AD18" t="s">
        <v>385</v>
      </c>
      <c r="AE18" s="4" cm="1">
        <f t="array" ref="AE18">ROUND(_xlfn.PERCENTILE.INC(_xlfn._xlws.FILTER($M$2:$M$1000, ($A$2:$A$1000=$AE6) * ($C$2:$C$1000=AE$8) * (LEFT($D$2:$D$1000,10)=$AE5)), 0.99),2)</f>
        <v>1.51</v>
      </c>
      <c r="AF18" s="4" cm="1">
        <f t="array" ref="AF18">ROUND(_xlfn.PERCENTILE.INC(_xlfn._xlws.FILTER($M$2:$M$1000, ($A$2:$A$1000=$AE6) * ($C$2:$C$1000=AF$8) * (LEFT($D$2:$D$1000,10)=$AE5)), 0.99),2)</f>
        <v>1.68</v>
      </c>
      <c r="AG18" s="4" cm="1">
        <f t="array" ref="AG18">ROUND(_xlfn.PERCENTILE.INC(_xlfn._xlws.FILTER($M$2:$M$1000, ($A$2:$A$1000=$AE6) * ($C$2:$C$1000=AG$8) * (LEFT($D$2:$D$1000,10)=$AE5)), 0.99),2)</f>
        <v>1.55</v>
      </c>
      <c r="AI18" t="s">
        <v>385</v>
      </c>
      <c r="AJ18" s="4" cm="1">
        <f t="array" ref="AJ18">ROUND(_xlfn.PERCENTILE.INC(_xlfn._xlws.FILTER($M$2:$M$1000, ($A$2:$A$1000=$AJ6) * ($C$2:$C$1000=AJ$8) *  ($B$2:$B$1000&gt;=$AJ$7) * ($B$2:$B$1000&lt;=$AL$7) * (LEFT($D$2:$D$1000,10)=$AJ5)), 0.99),2)</f>
        <v>1.51</v>
      </c>
      <c r="AK18" s="4" cm="1">
        <f t="array" ref="AK18">ROUND(_xlfn.PERCENTILE.INC(_xlfn._xlws.FILTER($M$2:$M$1000, ($A$2:$A$1000=$AJ6) * ($C$2:$C$1000=AK$8) *  ($B$2:$B$1000&gt;=$AJ$7) * ($B$2:$B$1000&lt;=$AL$7) * (LEFT($D$2:$D$1000,10)=$AJ5)), 0.99),2)</f>
        <v>1.48</v>
      </c>
      <c r="AL18" s="4" cm="1">
        <f t="array" ref="AL18">ROUND(_xlfn.PERCENTILE.INC(_xlfn._xlws.FILTER($M$2:$M$1000, ($A$2:$A$1000=$AJ6) * ($C$2:$C$1000=AL$8) *  ($B$2:$B$1000&gt;=$AJ$7) * ($B$2:$B$1000&lt;=$AL$7) * (LEFT($D$2:$D$1000,10)=$AJ5)), 0.99),2)</f>
        <v>1.55</v>
      </c>
    </row>
    <row r="19" spans="1:38" x14ac:dyDescent="0.25">
      <c r="A19" t="s">
        <v>12</v>
      </c>
      <c r="B19">
        <v>8</v>
      </c>
      <c r="C19" t="s">
        <v>36</v>
      </c>
      <c r="D19" t="s">
        <v>356</v>
      </c>
      <c r="E19" t="s">
        <v>357</v>
      </c>
      <c r="F19" s="1">
        <v>1.3888888888888888E-5</v>
      </c>
      <c r="G19" t="s">
        <v>16</v>
      </c>
      <c r="H19">
        <v>5</v>
      </c>
      <c r="I19">
        <v>173</v>
      </c>
      <c r="J19">
        <v>178</v>
      </c>
      <c r="L19" t="s">
        <v>17</v>
      </c>
      <c r="M19" s="3">
        <f t="shared" si="0"/>
        <v>1.0210000444203615</v>
      </c>
      <c r="O19" t="s">
        <v>386</v>
      </c>
      <c r="P19" s="4">
        <f>P12-P11</f>
        <v>0.14999999999999991</v>
      </c>
      <c r="Q19" s="4">
        <f t="shared" ref="Q19:R19" si="1">Q12-Q11</f>
        <v>0.25</v>
      </c>
      <c r="R19" s="4">
        <f t="shared" si="1"/>
        <v>0.21999999999999997</v>
      </c>
      <c r="T19" t="s">
        <v>386</v>
      </c>
      <c r="U19" s="4">
        <f>U12-U11</f>
        <v>0.14000000000000012</v>
      </c>
      <c r="V19" s="4">
        <f t="shared" ref="V19:W19" si="2">V12-V11</f>
        <v>0.27</v>
      </c>
      <c r="W19" s="4">
        <f t="shared" si="2"/>
        <v>0.17999999999999994</v>
      </c>
      <c r="Y19" t="s">
        <v>386</v>
      </c>
      <c r="Z19" s="4">
        <f>Z12-Z11</f>
        <v>0.17000000000000015</v>
      </c>
      <c r="AA19" s="4">
        <f t="shared" ref="AA19:AB19" si="3">AA12-AA11</f>
        <v>0.25</v>
      </c>
      <c r="AB19" s="4">
        <f t="shared" si="3"/>
        <v>0.12999999999999989</v>
      </c>
      <c r="AD19" t="s">
        <v>386</v>
      </c>
      <c r="AE19" s="4">
        <f>AE12-AE11</f>
        <v>0.24</v>
      </c>
      <c r="AF19" s="4">
        <f t="shared" ref="AF19:AG19" si="4">AF12-AF11</f>
        <v>0.32000000000000006</v>
      </c>
      <c r="AG19" s="4">
        <f t="shared" si="4"/>
        <v>0.14999999999999991</v>
      </c>
      <c r="AI19" t="s">
        <v>386</v>
      </c>
      <c r="AJ19" s="4">
        <f>AJ12-AJ11</f>
        <v>9.9999999999999867E-2</v>
      </c>
      <c r="AK19" s="4">
        <f t="shared" ref="AK19:AL19" si="5">AK12-AK11</f>
        <v>0.30000000000000004</v>
      </c>
      <c r="AL19" s="4">
        <f t="shared" si="5"/>
        <v>0.1399999999999999</v>
      </c>
    </row>
    <row r="20" spans="1:38" x14ac:dyDescent="0.25">
      <c r="A20" t="s">
        <v>12</v>
      </c>
      <c r="B20">
        <v>9</v>
      </c>
      <c r="C20" t="s">
        <v>36</v>
      </c>
      <c r="D20" t="s">
        <v>358</v>
      </c>
      <c r="E20" t="s">
        <v>359</v>
      </c>
      <c r="F20" s="1">
        <v>4.398148148148148E-5</v>
      </c>
      <c r="G20" t="s">
        <v>16</v>
      </c>
      <c r="H20">
        <v>5</v>
      </c>
      <c r="I20">
        <v>173</v>
      </c>
      <c r="J20">
        <v>178</v>
      </c>
      <c r="L20" t="s">
        <v>17</v>
      </c>
      <c r="M20" s="3">
        <f t="shared" si="0"/>
        <v>3.0750002944841981</v>
      </c>
      <c r="O20" t="s">
        <v>387</v>
      </c>
      <c r="P20" s="16">
        <f>P17/P19</f>
        <v>12.333333333333341</v>
      </c>
      <c r="Q20" s="16">
        <f t="shared" ref="Q20:R20" si="6">Q17/Q19</f>
        <v>6.8</v>
      </c>
      <c r="R20" s="16">
        <f t="shared" si="6"/>
        <v>7.7727272727272734</v>
      </c>
      <c r="T20" t="s">
        <v>387</v>
      </c>
      <c r="U20" s="6">
        <f>U17/U19</f>
        <v>14.642857142857128</v>
      </c>
      <c r="V20" s="6">
        <f t="shared" ref="V20:W20" si="7">V17/V19</f>
        <v>6.2222222222222214</v>
      </c>
      <c r="W20" s="6">
        <f t="shared" si="7"/>
        <v>9.9444444444444482</v>
      </c>
      <c r="Y20" t="s">
        <v>387</v>
      </c>
      <c r="Z20" s="6">
        <f>Z17/Z19</f>
        <v>10.294117647058814</v>
      </c>
      <c r="AA20" s="6">
        <f t="shared" ref="AA20:AB20" si="8">AA17/AA19</f>
        <v>6.76</v>
      </c>
      <c r="AB20" s="6">
        <f t="shared" si="8"/>
        <v>12.461538461538472</v>
      </c>
      <c r="AD20" t="s">
        <v>387</v>
      </c>
      <c r="AE20" s="6">
        <f>AE17/AE19</f>
        <v>6.291666666666667</v>
      </c>
      <c r="AF20" s="6">
        <f t="shared" ref="AF20:AG20" si="9">AF17/AF19</f>
        <v>4.9999999999999991</v>
      </c>
      <c r="AG20" s="6">
        <f t="shared" si="9"/>
        <v>10.200000000000006</v>
      </c>
      <c r="AI20" t="s">
        <v>387</v>
      </c>
      <c r="AJ20" s="6">
        <f>AJ17/AJ19</f>
        <v>15.100000000000021</v>
      </c>
      <c r="AK20" s="6">
        <f t="shared" ref="AK20:AL20" si="10">AK17/AK19</f>
        <v>4.9333333333333327</v>
      </c>
      <c r="AL20" s="6">
        <f t="shared" si="10"/>
        <v>11.000000000000007</v>
      </c>
    </row>
    <row r="21" spans="1:38" x14ac:dyDescent="0.25">
      <c r="A21" t="s">
        <v>12</v>
      </c>
      <c r="B21">
        <v>10</v>
      </c>
      <c r="C21" t="s">
        <v>36</v>
      </c>
      <c r="D21" t="s">
        <v>360</v>
      </c>
      <c r="E21" t="s">
        <v>361</v>
      </c>
      <c r="F21" s="1">
        <v>1.8518518518518518E-5</v>
      </c>
      <c r="G21" t="s">
        <v>16</v>
      </c>
      <c r="H21">
        <v>5</v>
      </c>
      <c r="I21">
        <v>173</v>
      </c>
      <c r="J21">
        <v>178</v>
      </c>
      <c r="L21" t="s">
        <v>17</v>
      </c>
      <c r="M21" s="3">
        <f t="shared" si="0"/>
        <v>1.0060000000521541</v>
      </c>
      <c r="O21" t="s">
        <v>636</v>
      </c>
      <c r="P21" s="7" t="str">
        <f>IF(P20&lt;20, "✅ SAFE",
   IF(AND(P20&gt;=20, P20&lt;30),
      IF(P17&lt;$R$28, "🟡 MODERATE", "🔴 SEVERE"),
      IF(AND(P20&gt;=30, P20&lt;=50), "🔴 SEVERE",
         IF(P20&gt;50, "🚨 CRITICAL", "ERROR"))))</f>
        <v>✅ SAFE</v>
      </c>
      <c r="Q21" s="7" t="str">
        <f t="shared" ref="Q21:R21" si="11">IF(Q20&lt;20, "✅ SAFE",
   IF(AND(Q20&gt;=20, Q20&lt;30),
      IF(Q17&lt;$R$28, "🟡 MODERATE", "🔴 SEVERE"),
      IF(AND(Q20&gt;=30, Q20&lt;=50), "🔴 SEVERE",
         IF(Q20&gt;50, "🚨 CRITICAL", "ERROR"))))</f>
        <v>✅ SAFE</v>
      </c>
      <c r="R21" s="7" t="str">
        <f t="shared" si="11"/>
        <v>✅ SAFE</v>
      </c>
      <c r="T21" t="s">
        <v>636</v>
      </c>
      <c r="U21" s="7" t="str">
        <f>IF(U20&lt;20, "✅ SAFE",
   IF(AND(U20&gt;=20, U20&lt;30),
      IF(U17&lt;$W$28, "🟡 MODERATE", "🔴 SEVERE"),
      IF(AND(U20&gt;=30, U20&lt;=50), "🔴 SEVERE",
         IF(U20&gt;50, "🚨 CRITICAL", "ERROR"))))</f>
        <v>✅ SAFE</v>
      </c>
      <c r="V21" s="7" t="str">
        <f t="shared" ref="V21:W21" si="12">IF(V20&lt;20, "✅ SAFE",
   IF(AND(V20&gt;=20, V20&lt;30),
      IF(V17&lt;$W$28, "🟡 MODERATE", "🔴 SEVERE"),
      IF(AND(V20&gt;=30, V20&lt;=50), "🔴 SEVERE",
         IF(V20&gt;50, "🚨 CRITICAL", "ERROR"))))</f>
        <v>✅ SAFE</v>
      </c>
      <c r="W21" s="7" t="str">
        <f t="shared" si="12"/>
        <v>✅ SAFE</v>
      </c>
      <c r="Y21" t="s">
        <v>636</v>
      </c>
      <c r="Z21" s="7" t="str">
        <f>IF(Z20&lt;20, "✅ SAFE",
   IF(AND(Z20&gt;=20, Z20&lt;30),
      IF(Z17&lt;$AB$28, "🟡 MODERATE", "🔴 SEVERE"),
      IF(AND(Z20&gt;=30, Z20&lt;=50), "🔴 SEVERE",
         IF(Z20&gt;50, "🚨 CRITICAL", "ERROR"))))</f>
        <v>✅ SAFE</v>
      </c>
      <c r="AA21" s="7" t="str">
        <f t="shared" ref="AA21:AB21" si="13">IF(AA20&lt;20, "✅ SAFE",
   IF(AND(AA20&gt;=20, AA20&lt;30),
      IF(AA17&lt;$AB$28, "🟡 MODERATE", "🔴 SEVERE"),
      IF(AND(AA20&gt;=30, AA20&lt;=50), "🔴 SEVERE",
         IF(AA20&gt;50, "🚨 CRITICAL", "ERROR"))))</f>
        <v>✅ SAFE</v>
      </c>
      <c r="AB21" s="7" t="str">
        <f t="shared" si="13"/>
        <v>✅ SAFE</v>
      </c>
      <c r="AD21" t="s">
        <v>636</v>
      </c>
      <c r="AE21" s="7" t="str">
        <f>IF(AE20&lt;20, "✅ SAFE",
   IF(AND(AE20&gt;=20, AE20&lt;30),
      IF(AE17&lt;$AG$28, "🟡 MODERATE", "🔴 SEVERE"),
      IF(AND(AE20&gt;=30, AE20&lt;=50), "🔴 SEVERE",
         IF(AE20&gt;50, "🚨 CRITICAL", "ERROR"))))</f>
        <v>✅ SAFE</v>
      </c>
      <c r="AF21" s="7" t="str">
        <f t="shared" ref="AF21:AG21" si="14">IF(AF20&lt;20, "✅ SAFE",
   IF(AND(AF20&gt;=20, AF20&lt;30),
      IF(AF17&lt;$AG$28, "🟡 MODERATE", "🔴 SEVERE"),
      IF(AND(AF20&gt;=30, AF20&lt;=50), "🔴 SEVERE",
         IF(AF20&gt;50, "🚨 CRITICAL", "ERROR"))))</f>
        <v>✅ SAFE</v>
      </c>
      <c r="AG21" s="7" t="str">
        <f t="shared" si="14"/>
        <v>✅ SAFE</v>
      </c>
      <c r="AI21" t="s">
        <v>636</v>
      </c>
      <c r="AJ21" s="7" t="str">
        <f>IF(AJ20&lt;20, "✅ SAFE",
   IF(AND(AJ20&gt;=20, AJ20&lt;30),
      IF(AJ17&lt;$AL$28, "🟡 MODERATE", "🔴 SEVERE"),
      IF(AND(AJ20&gt;=30, AJ20&lt;=50), "🔴 SEVERE",
         IF(AJ20&gt;50, "🚨 CRITICAL", "ERROR"))))</f>
        <v>✅ SAFE</v>
      </c>
      <c r="AK21" s="7" t="str">
        <f t="shared" ref="AK21:AL21" si="15">IF(AK20&lt;20, "✅ SAFE",
   IF(AND(AK20&gt;=20, AK20&lt;30),
      IF(AK17&lt;$AL$28, "🟡 MODERATE", "🔴 SEVERE"),
      IF(AND(AK20&gt;=30, AK20&lt;=50), "🔴 SEVERE",
         IF(AK20&gt;50, "🚨 CRITICAL", "ERROR"))))</f>
        <v>✅ SAFE</v>
      </c>
      <c r="AL21" s="7" t="str">
        <f t="shared" si="15"/>
        <v>✅ SAFE</v>
      </c>
    </row>
    <row r="22" spans="1:38" x14ac:dyDescent="0.25">
      <c r="A22" t="s">
        <v>12</v>
      </c>
      <c r="B22">
        <v>1</v>
      </c>
      <c r="C22" t="s">
        <v>57</v>
      </c>
      <c r="D22" t="s">
        <v>362</v>
      </c>
      <c r="E22" t="s">
        <v>363</v>
      </c>
      <c r="F22" s="1">
        <v>1.6203703703703704E-5</v>
      </c>
      <c r="G22" t="s">
        <v>16</v>
      </c>
      <c r="H22">
        <v>5</v>
      </c>
      <c r="I22">
        <v>108</v>
      </c>
      <c r="J22">
        <v>113</v>
      </c>
      <c r="L22" t="s">
        <v>17</v>
      </c>
      <c r="M22" s="3">
        <f t="shared" si="0"/>
        <v>1.039999513886869</v>
      </c>
      <c r="O22" t="s">
        <v>388</v>
      </c>
      <c r="P22" s="4">
        <f>ROUND(_xlfn.MAXIFS($M:$M, $A:$A, $P6, $C:$C, P$8) - _xlfn.MINIFS($M:$M, $A:$A, $P6, $C:$C, P$8),2)</f>
        <v>1.1200000000000001</v>
      </c>
      <c r="Q22" s="4">
        <f>ROUND(_xlfn.MAXIFS($M:$M, $A:$A, $P6, $C:$C, Q$8) - _xlfn.MINIFS($M:$M, $A:$A, $P6, $C:$C, Q$8),2)</f>
        <v>0.62</v>
      </c>
      <c r="R22" s="4">
        <f>ROUND(_xlfn.MAXIFS($M:$M, $A:$A, $P6, $C:$C, R$8) - _xlfn.MINIFS($M:$M, $A:$A, $P6, $C:$C, R$8),2)</f>
        <v>0.74</v>
      </c>
      <c r="T22" t="s">
        <v>388</v>
      </c>
      <c r="U22" s="4" cm="1">
        <f t="array" ref="U22">ROUND(MAX(_xlfn._xlws.FILTER($M$2:$M$1000, ($A$2:$A$1000=$U6) * ($C$2:$C$1000=U$8) * (LEFT($D$2:$D$1000,10)=$U5))) - MIN(_xlfn._xlws.FILTER($M$2:$M$1000, ($A$2:$A$1000=$U6) * ($C$2:$C$1000=U$8) * (LEFT($D$2:$D$1000,10)=$U5))),2)</f>
        <v>1.02</v>
      </c>
      <c r="V22" s="4" cm="1">
        <f t="array" ref="V22">MAX(_xlfn._xlws.FILTER($M$2:$M$1000, ($A$2:$A$1000=$U6) * ($C$2:$C$1000=V$8) * (LEFT($D$2:$D$1000,10)=$U5))) - MIN(_xlfn._xlws.FILTER($M$2:$M$1000, ($A$2:$A$1000=$U6) * ($C$2:$C$1000=V$8) * (LEFT($D$2:$D$1000,10)=$U5)))</f>
        <v>0.47799982130527496</v>
      </c>
      <c r="W22" s="4" cm="1">
        <f t="array" ref="W22">MAX(_xlfn._xlws.FILTER($M$2:$M$1000, ($A$2:$A$1000=$U6) * ($C$2:$C$1000=W$8) * (LEFT($D$2:$D$1000,10)=$U5))) - MIN(_xlfn._xlws.FILTER($M$2:$M$1000, ($A$2:$A$1000=$U6) * ($C$2:$C$1000=W$8) * (LEFT($D$2:$D$1000,10)=$U5)))</f>
        <v>0.73599983006715775</v>
      </c>
      <c r="Y22" t="s">
        <v>388</v>
      </c>
      <c r="Z22" s="4" cm="1">
        <f t="array" ref="Z22">ROUND(MAX(_xlfn._xlws.FILTER($M$2:$M$1000, ($A$2:$A$1000=$Z6) * ($C$2:$C$1000=Z$8) *  ($B$2:$B$1000&gt;=$Z$7) * ($B$2:$B$1000&lt;=$AB$7) * (LEFT($D$2:$D$1000,10)=$Z5))) - MIN(_xlfn._xlws.FILTER($M$2:$M$1000, ($A$2:$A$1000=$Z6) * ($C$2:$C$1000=Z$8) *  ($B$2:$B$1000&gt;=$Z$7) * ($B$2:$B$1000&lt;=$AB$7) * (LEFT($D$2:$D$1000,10)=$Z5))),2)</f>
        <v>0.63</v>
      </c>
      <c r="AA22" s="4" cm="1">
        <f t="array" ref="AA22">ROUND(MAX(_xlfn._xlws.FILTER($M$2:$M$1000, ($A$2:$A$1000=$Z6) * ($C$2:$C$1000=AA$8) *  ($B$2:$B$1000&gt;=$Z$7) * ($B$2:$B$1000&lt;=$AB$7) * (LEFT($D$2:$D$1000,10)=$Z5))) - MIN(_xlfn._xlws.FILTER($M$2:$M$1000, ($A$2:$A$1000=$Z6) * ($C$2:$C$1000=AA$8) *  ($B$2:$B$1000&gt;=$Z$7) * ($B$2:$B$1000&lt;=$AB$7) * (LEFT($D$2:$D$1000,10)=$Z5))),2)</f>
        <v>0.48</v>
      </c>
      <c r="AB22" s="4" cm="1">
        <f t="array" ref="AB22">ROUND(MAX(_xlfn._xlws.FILTER($M$2:$M$1000, ($A$2:$A$1000=$Z6) * ($C$2:$C$1000=AB$8) *  ($B$2:$B$1000&gt;=$Z$7) * ($B$2:$B$1000&lt;=$AB$7) * (LEFT($D$2:$D$1000,10)=$Z5))) - MIN(_xlfn._xlws.FILTER($M$2:$M$1000, ($A$2:$A$1000=$Z6) * ($C$2:$C$1000=AB$8) *  ($B$2:$B$1000&gt;=$Z$7) * ($B$2:$B$1000&lt;=$AB$7) * (LEFT($D$2:$D$1000,10)=$Z5))),2)</f>
        <v>0.57999999999999996</v>
      </c>
      <c r="AD22" t="s">
        <v>388</v>
      </c>
      <c r="AE22" s="4" cm="1">
        <f t="array" ref="AE22">ROUND(MAX(_xlfn._xlws.FILTER($M$2:$M$1000, ($A$2:$A$1000=$AE6) * ($C$2:$C$1000=AE$8) * (LEFT($D$2:$D$1000,10)=$AE5))) - MIN(_xlfn._xlws.FILTER($M$2:$M$1000, ($A$2:$A$1000=$AE6) * ($C$2:$C$1000=AE$8) * (LEFT($D$2:$D$1000,10)=$AE5))),2)</f>
        <v>0.42</v>
      </c>
      <c r="AF22" s="4" cm="1">
        <f t="array" ref="AF22">MAX(_xlfn._xlws.FILTER($M$2:$M$1000, ($A$2:$A$1000=$AE6) * ($C$2:$C$1000=AF$8) * (LEFT($D$2:$D$1000,10)=$AE5))) - MIN(_xlfn._xlws.FILTER($M$2:$M$1000, ($A$2:$A$1000=$AE6) * ($C$2:$C$1000=AF$8) * (LEFT($D$2:$D$1000,10)=$AE5)))</f>
        <v>0.60200022999197245</v>
      </c>
      <c r="AG22" s="4" cm="1">
        <f t="array" ref="AG22">MAX(_xlfn._xlws.FILTER($M$2:$M$1000, ($A$2:$A$1000=$AE6) * ($C$2:$C$1000=AG$8) * (LEFT($D$2:$D$1000,10)=$AE5))) - MIN(_xlfn._xlws.FILTER($M$2:$M$1000, ($A$2:$A$1000=$AE6) * ($C$2:$C$1000=AG$8) * (LEFT($D$2:$D$1000,10)=$AE5)))</f>
        <v>0.34700010437518358</v>
      </c>
      <c r="AI22" t="s">
        <v>388</v>
      </c>
      <c r="AJ22" s="4" cm="1">
        <f t="array" ref="AJ22">ROUND(MAX(_xlfn._xlws.FILTER($M$2:$M$1000, ($A$2:$A$1000=$AJ6) * ($C$2:$C$1000=AJ$8) *  ($B$2:$B$1000&gt;=$AJ$7) * ($B$2:$B$1000&lt;=$AL$7) * (LEFT($D$2:$D$1000,10)=$AJ5))) - MIN(_xlfn._xlws.FILTER($M$2:$M$1000, ($A$2:$A$1000=$AJ6) * ($C$2:$C$1000=AJ$8) *  ($B$2:$B$1000&gt;=$AJ$7) * ($B$2:$B$1000&lt;=$AL$7) * (LEFT($D$2:$D$1000,10)=$AJ5))),2)</f>
        <v>0.4</v>
      </c>
      <c r="AK22" s="4" cm="1">
        <f t="array" ref="AK22">ROUND(MAX(_xlfn._xlws.FILTER($M$2:$M$1000, ($A$2:$A$1000=$AJ6) * ($C$2:$C$1000=AK$8) *  ($B$2:$B$1000&gt;=$AJ$7) * ($B$2:$B$1000&lt;=$AL$7) * (LEFT($D$2:$D$1000,10)=$AJ5))) - MIN(_xlfn._xlws.FILTER($M$2:$M$1000, ($A$2:$A$1000=$AJ6) * ($C$2:$C$1000=AK$8) *  ($B$2:$B$1000&gt;=$AJ$7) * ($B$2:$B$1000&lt;=$AL$7) * (LEFT($D$2:$D$1000,10)=$AJ5))),2)</f>
        <v>0.39</v>
      </c>
      <c r="AL22" s="4" cm="1">
        <f t="array" ref="AL22">ROUND(MAX(_xlfn._xlws.FILTER($M$2:$M$1000, ($A$2:$A$1000=$AJ6) * ($C$2:$C$1000=AL$8) *  ($B$2:$B$1000&gt;=$AJ$7) * ($B$2:$B$1000&lt;=$AL$7) * (LEFT($D$2:$D$1000,10)=$AJ5))) - MIN(_xlfn._xlws.FILTER($M$2:$M$1000, ($A$2:$A$1000=$AJ6) * ($C$2:$C$1000=AL$8) *  ($B$2:$B$1000&gt;=$AJ$7) * ($B$2:$B$1000&lt;=$AL$7) * (LEFT($D$2:$D$1000,10)=$AJ5))),2)</f>
        <v>0.35</v>
      </c>
    </row>
    <row r="23" spans="1:38" x14ac:dyDescent="0.25">
      <c r="A23" t="s">
        <v>12</v>
      </c>
      <c r="B23">
        <v>2</v>
      </c>
      <c r="C23" t="s">
        <v>57</v>
      </c>
      <c r="D23" t="s">
        <v>364</v>
      </c>
      <c r="E23" t="s">
        <v>365</v>
      </c>
      <c r="F23" s="1">
        <v>1.3888888888888888E-5</v>
      </c>
      <c r="G23" t="s">
        <v>16</v>
      </c>
      <c r="H23">
        <v>5</v>
      </c>
      <c r="I23">
        <v>108</v>
      </c>
      <c r="J23">
        <v>113</v>
      </c>
      <c r="L23" t="s">
        <v>17</v>
      </c>
      <c r="M23" s="3">
        <f t="shared" si="0"/>
        <v>1.0149996494874358</v>
      </c>
      <c r="O23" t="s">
        <v>389</v>
      </c>
      <c r="P23" s="17">
        <f>ROUND(P15/P9,2)</f>
        <v>0.17</v>
      </c>
      <c r="Q23" s="17">
        <f>ROUND(Q15/Q9,2)</f>
        <v>0.14000000000000001</v>
      </c>
      <c r="R23" s="17">
        <f>ROUND(R15/R9,2)</f>
        <v>0.13</v>
      </c>
      <c r="T23" t="s">
        <v>389</v>
      </c>
      <c r="U23" s="5">
        <f>U15/U9</f>
        <v>0.1806451612903226</v>
      </c>
      <c r="V23" s="5">
        <f t="shared" ref="V23:W23" si="16">V15/V9</f>
        <v>0.10958904109589042</v>
      </c>
      <c r="W23" s="5">
        <f t="shared" si="16"/>
        <v>0.14893617021276595</v>
      </c>
      <c r="Y23" t="s">
        <v>389</v>
      </c>
      <c r="Z23" s="5">
        <f>Z15/Z9</f>
        <v>0.12751677852348994</v>
      </c>
      <c r="AA23" s="5">
        <f>AA15/AA9</f>
        <v>0.10958904109589042</v>
      </c>
      <c r="AB23" s="5">
        <f t="shared" ref="AB23" si="17">AB15/AB9</f>
        <v>0.11678832116788321</v>
      </c>
      <c r="AD23" t="s">
        <v>389</v>
      </c>
      <c r="AE23" s="5">
        <f>AE15/AE9</f>
        <v>0.11678832116788321</v>
      </c>
      <c r="AF23" s="5">
        <f t="shared" ref="AF23:AG23" si="18">AF15/AF9</f>
        <v>0.14074074074074072</v>
      </c>
      <c r="AG23" s="5">
        <f t="shared" si="18"/>
        <v>8.4507042253521125E-2</v>
      </c>
      <c r="AI23" t="s">
        <v>389</v>
      </c>
      <c r="AJ23" s="5">
        <f>AJ15/AJ9</f>
        <v>0.10144927536231886</v>
      </c>
      <c r="AK23" s="5">
        <f t="shared" ref="AK23:AL23" si="19">AK15/AK9</f>
        <v>0.12403100775193798</v>
      </c>
      <c r="AL23" s="5">
        <f t="shared" si="19"/>
        <v>7.6388888888888895E-2</v>
      </c>
    </row>
    <row r="24" spans="1:38" ht="15.75" thickBot="1" x14ac:dyDescent="0.3">
      <c r="A24" t="s">
        <v>12</v>
      </c>
      <c r="B24">
        <v>3</v>
      </c>
      <c r="C24" t="s">
        <v>57</v>
      </c>
      <c r="D24" t="s">
        <v>366</v>
      </c>
      <c r="E24" t="s">
        <v>367</v>
      </c>
      <c r="F24" s="1">
        <v>1.6203703703703704E-5</v>
      </c>
      <c r="G24" t="s">
        <v>16</v>
      </c>
      <c r="H24">
        <v>5</v>
      </c>
      <c r="I24">
        <v>108</v>
      </c>
      <c r="J24">
        <v>113</v>
      </c>
      <c r="L24" t="s">
        <v>17</v>
      </c>
      <c r="M24" s="3">
        <f t="shared" si="0"/>
        <v>1.0420004837214947</v>
      </c>
      <c r="T24" t="s">
        <v>662</v>
      </c>
      <c r="U24" s="7" t="str">
        <f>IF(U20&lt;20, "✅",
   IF(AND(U20&gt;=20, U20&lt;30),
      IF(U17&lt;$W$28, "🟡", "🔴"),
      IF(AND(U20&gt;=30, U20&lt;=50), "🔴",
         IF(U20&gt;50, "🚨", ""))))</f>
        <v>✅</v>
      </c>
      <c r="V24" s="7" t="str">
        <f t="shared" ref="V24:W24" si="20">IF(V20&lt;20, "✅",
   IF(AND(V20&gt;=20, V20&lt;30),
      IF(V17&lt;$W$28, "🟡", "🔴"),
      IF(AND(V20&gt;=30, V20&lt;=50), "🔴",
         IF(V20&gt;50, "🚨", ""))))</f>
        <v>✅</v>
      </c>
      <c r="W24" s="7" t="str">
        <f t="shared" si="20"/>
        <v>✅</v>
      </c>
      <c r="Y24" t="s">
        <v>662</v>
      </c>
      <c r="Z24" s="7" t="str">
        <f>IF(Z20&lt;20, "✅",
   IF(AND(Z20&gt;=20, Z20&lt;30),
      IF(Z17&lt;$AB$28, "🟡", "🔴"),
      IF(AND(Z20&gt;=30, Z20&lt;=50), "🔴",
         IF(Z20&gt;50, "🚨", ""))))</f>
        <v>✅</v>
      </c>
      <c r="AA24" s="7" t="str">
        <f t="shared" ref="AA24:AB24" si="21">IF(AA20&lt;20, "✅",
   IF(AND(AA20&gt;=20, AA20&lt;30),
      IF(AA17&lt;$AB$28, "🟡", "🔴"),
      IF(AND(AA20&gt;=30, AA20&lt;=50), "🔴",
         IF(AA20&gt;50, "🚨", ""))))</f>
        <v>✅</v>
      </c>
      <c r="AB24" s="7" t="str">
        <f t="shared" si="21"/>
        <v>✅</v>
      </c>
      <c r="AD24" t="s">
        <v>662</v>
      </c>
      <c r="AE24" s="7" t="str">
        <f>IF(AE20&lt;20, "✅",
   IF(AND(AE20&gt;=20, AE20&lt;30),
      IF(AE17&lt;$AG$28, "🟡", "🔴"),
      IF(AND(AE20&gt;=30, AE20&lt;=50), "🔴",
         IF(AE20&gt;50, "🚨", ""))))</f>
        <v>✅</v>
      </c>
      <c r="AF24" s="7" t="str">
        <f t="shared" ref="AF24:AG24" si="22">IF(AF20&lt;20, "✅",
   IF(AND(AF20&gt;=20, AF20&lt;30),
      IF(AF17&lt;$AG$28, "🟡", "🔴"),
      IF(AND(AF20&gt;=30, AF20&lt;=50), "🔴",
         IF(AF20&gt;50, "🚨", ""))))</f>
        <v>✅</v>
      </c>
      <c r="AG24" s="7" t="str">
        <f t="shared" si="22"/>
        <v>✅</v>
      </c>
      <c r="AI24" t="s">
        <v>662</v>
      </c>
      <c r="AJ24" s="7" t="str">
        <f>IF(AJ20&lt;20, "✅",
   IF(AND(AJ20&gt;=20, AJ20&lt;30),
      IF(AJ17&lt;$AL$28, "🟡", "🔴"),
      IF(AND(AJ20&gt;=30, AJ20&lt;=50), "🔴",
         IF(AJ20&gt;50, "🚨", ""))))</f>
        <v>✅</v>
      </c>
      <c r="AK24" s="7" t="str">
        <f t="shared" ref="AK24:AL24" si="23">IF(AK20&lt;20, "✅",
   IF(AND(AK20&gt;=20, AK20&lt;30),
      IF(AK17&lt;$AL$28, "🟡", "🔴"),
      IF(AND(AK20&gt;=30, AK20&lt;=50), "🔴",
         IF(AK20&gt;50, "🚨", ""))))</f>
        <v>✅</v>
      </c>
      <c r="AL24" s="7" t="str">
        <f t="shared" si="23"/>
        <v>✅</v>
      </c>
    </row>
    <row r="25" spans="1:38" ht="15.75" customHeight="1" thickBot="1" x14ac:dyDescent="0.3">
      <c r="A25" t="s">
        <v>12</v>
      </c>
      <c r="B25">
        <v>4</v>
      </c>
      <c r="C25" t="s">
        <v>57</v>
      </c>
      <c r="D25" t="s">
        <v>368</v>
      </c>
      <c r="E25" t="s">
        <v>369</v>
      </c>
      <c r="F25" s="1">
        <v>1.3888888888888888E-5</v>
      </c>
      <c r="G25" t="s">
        <v>16</v>
      </c>
      <c r="H25">
        <v>5</v>
      </c>
      <c r="I25">
        <v>108</v>
      </c>
      <c r="J25">
        <v>113</v>
      </c>
      <c r="L25" t="s">
        <v>17</v>
      </c>
      <c r="M25" s="3">
        <f t="shared" si="0"/>
        <v>1.0159998200833797</v>
      </c>
      <c r="O25" s="36" t="s">
        <v>651</v>
      </c>
      <c r="P25" s="37"/>
      <c r="Q25" s="37"/>
      <c r="R25" s="38"/>
      <c r="T25" s="36" t="s">
        <v>652</v>
      </c>
      <c r="U25" s="37"/>
      <c r="V25" s="37"/>
      <c r="W25" s="38"/>
      <c r="Y25" s="36" t="s">
        <v>653</v>
      </c>
      <c r="Z25" s="37"/>
      <c r="AA25" s="37"/>
      <c r="AB25" s="38"/>
      <c r="AD25" s="36" t="s">
        <v>654</v>
      </c>
      <c r="AE25" s="37"/>
      <c r="AF25" s="37"/>
      <c r="AG25" s="38"/>
      <c r="AI25" s="36" t="s">
        <v>655</v>
      </c>
      <c r="AJ25" s="37"/>
      <c r="AK25" s="37"/>
      <c r="AL25" s="38"/>
    </row>
    <row r="26" spans="1:38" x14ac:dyDescent="0.25">
      <c r="A26" t="s">
        <v>12</v>
      </c>
      <c r="B26">
        <v>5</v>
      </c>
      <c r="C26" t="s">
        <v>57</v>
      </c>
      <c r="D26" t="s">
        <v>370</v>
      </c>
      <c r="E26" t="s">
        <v>371</v>
      </c>
      <c r="F26" s="1">
        <v>1.2731481481481482E-5</v>
      </c>
      <c r="G26" t="s">
        <v>16</v>
      </c>
      <c r="H26">
        <v>5</v>
      </c>
      <c r="I26">
        <v>108</v>
      </c>
      <c r="J26">
        <v>113</v>
      </c>
      <c r="L26" t="s">
        <v>17</v>
      </c>
      <c r="M26" s="3">
        <f t="shared" si="0"/>
        <v>1.0129999369382858</v>
      </c>
      <c r="O26" s="23" t="s">
        <v>648</v>
      </c>
      <c r="P26" s="23"/>
      <c r="Q26" s="23"/>
      <c r="R26" s="4">
        <f>MIN(P9:R9)</f>
        <v>1.4</v>
      </c>
      <c r="T26" s="23" t="s">
        <v>648</v>
      </c>
      <c r="U26" s="23"/>
      <c r="V26" s="23"/>
      <c r="W26" s="4">
        <f>MIN(U9:W9)</f>
        <v>1.41</v>
      </c>
      <c r="Y26" s="23" t="s">
        <v>648</v>
      </c>
      <c r="Z26" s="23"/>
      <c r="AA26" s="23"/>
      <c r="AB26" s="4">
        <f>MIN(Z9:AB9)</f>
        <v>1.37</v>
      </c>
      <c r="AD26" s="23" t="s">
        <v>648</v>
      </c>
      <c r="AE26" s="23"/>
      <c r="AF26" s="23"/>
      <c r="AG26" s="4">
        <f>MIN(AE9:AG9)</f>
        <v>1.35</v>
      </c>
      <c r="AI26" s="23" t="s">
        <v>648</v>
      </c>
      <c r="AJ26" s="23"/>
      <c r="AK26" s="23"/>
      <c r="AL26" s="4">
        <f>MIN(AJ9:AL9)</f>
        <v>1.29</v>
      </c>
    </row>
    <row r="27" spans="1:38" x14ac:dyDescent="0.25">
      <c r="A27" t="s">
        <v>12</v>
      </c>
      <c r="B27">
        <v>6</v>
      </c>
      <c r="C27" t="s">
        <v>57</v>
      </c>
      <c r="D27" t="s">
        <v>372</v>
      </c>
      <c r="E27" t="s">
        <v>373</v>
      </c>
      <c r="F27" s="1">
        <v>1.1574074074074073E-5</v>
      </c>
      <c r="G27" t="s">
        <v>16</v>
      </c>
      <c r="H27">
        <v>5</v>
      </c>
      <c r="I27">
        <v>108</v>
      </c>
      <c r="J27">
        <v>113</v>
      </c>
      <c r="L27" t="s">
        <v>17</v>
      </c>
      <c r="M27" s="3">
        <f t="shared" si="0"/>
        <v>0.98200030624866486</v>
      </c>
      <c r="O27" s="23" t="s">
        <v>649</v>
      </c>
      <c r="P27" s="23"/>
      <c r="Q27" s="23"/>
      <c r="R27" s="4">
        <f>MAX(P9:R9)</f>
        <v>1.46</v>
      </c>
      <c r="T27" s="23" t="s">
        <v>649</v>
      </c>
      <c r="U27" s="23"/>
      <c r="V27" s="23"/>
      <c r="W27" s="4">
        <f>MAX(U9:W9)</f>
        <v>1.55</v>
      </c>
      <c r="Y27" s="23" t="s">
        <v>649</v>
      </c>
      <c r="Z27" s="23"/>
      <c r="AA27" s="23"/>
      <c r="AB27" s="4">
        <f>MAX(Z9:AB9)</f>
        <v>1.49</v>
      </c>
      <c r="AD27" s="23" t="s">
        <v>649</v>
      </c>
      <c r="AE27" s="23"/>
      <c r="AF27" s="23"/>
      <c r="AG27" s="4">
        <f>MAX(AE9:AG9)</f>
        <v>1.42</v>
      </c>
      <c r="AI27" s="23" t="s">
        <v>649</v>
      </c>
      <c r="AJ27" s="23"/>
      <c r="AK27" s="23"/>
      <c r="AL27" s="4">
        <f>MAX(AJ9:AL9)</f>
        <v>1.44</v>
      </c>
    </row>
    <row r="28" spans="1:38" x14ac:dyDescent="0.25">
      <c r="A28" t="s">
        <v>12</v>
      </c>
      <c r="B28">
        <v>7</v>
      </c>
      <c r="C28" t="s">
        <v>57</v>
      </c>
      <c r="D28" t="s">
        <v>374</v>
      </c>
      <c r="E28" t="s">
        <v>375</v>
      </c>
      <c r="F28" s="1">
        <v>1.5046296296296297E-5</v>
      </c>
      <c r="G28" t="s">
        <v>16</v>
      </c>
      <c r="H28">
        <v>5</v>
      </c>
      <c r="I28">
        <v>108</v>
      </c>
      <c r="J28">
        <v>113</v>
      </c>
      <c r="L28" t="s">
        <v>17</v>
      </c>
      <c r="M28" s="3">
        <f t="shared" si="0"/>
        <v>1.0290001519024372</v>
      </c>
      <c r="O28" s="23" t="s">
        <v>650</v>
      </c>
      <c r="P28" s="23"/>
      <c r="Q28" s="23"/>
      <c r="R28">
        <f>MAX(3*R26, 1)</f>
        <v>4.1999999999999993</v>
      </c>
      <c r="T28" s="23" t="s">
        <v>650</v>
      </c>
      <c r="U28" s="23"/>
      <c r="V28" s="23"/>
      <c r="W28" s="4">
        <f>MAX(3*W26, 1)</f>
        <v>4.2299999999999995</v>
      </c>
      <c r="Y28" s="23" t="s">
        <v>666</v>
      </c>
      <c r="Z28" s="23"/>
      <c r="AA28" s="23"/>
      <c r="AB28" s="4">
        <f>MAX(3*AB26, 1)</f>
        <v>4.1100000000000003</v>
      </c>
      <c r="AD28" s="23" t="s">
        <v>650</v>
      </c>
      <c r="AE28" s="23"/>
      <c r="AF28" s="23"/>
      <c r="AG28" s="4">
        <f>MAX(3*AG26, 1)</f>
        <v>4.0500000000000007</v>
      </c>
      <c r="AI28" s="23" t="s">
        <v>666</v>
      </c>
      <c r="AJ28" s="23"/>
      <c r="AK28" s="23"/>
      <c r="AL28" s="4">
        <f>MAX(3*AL26, 1)</f>
        <v>3.87</v>
      </c>
    </row>
    <row r="29" spans="1:38" x14ac:dyDescent="0.25">
      <c r="A29" t="s">
        <v>12</v>
      </c>
      <c r="B29">
        <v>8</v>
      </c>
      <c r="C29" t="s">
        <v>57</v>
      </c>
      <c r="D29" t="s">
        <v>376</v>
      </c>
      <c r="E29" t="s">
        <v>377</v>
      </c>
      <c r="F29" s="1">
        <v>1.6203703703703704E-5</v>
      </c>
      <c r="G29" t="s">
        <v>16</v>
      </c>
      <c r="H29">
        <v>5</v>
      </c>
      <c r="I29">
        <v>108</v>
      </c>
      <c r="J29">
        <v>113</v>
      </c>
      <c r="L29" t="s">
        <v>17</v>
      </c>
      <c r="M29" s="3">
        <f t="shared" si="0"/>
        <v>1.0389999719336629</v>
      </c>
    </row>
    <row r="30" spans="1:38" x14ac:dyDescent="0.25">
      <c r="A30" t="s">
        <v>12</v>
      </c>
      <c r="B30">
        <v>9</v>
      </c>
      <c r="C30" t="s">
        <v>57</v>
      </c>
      <c r="D30" t="s">
        <v>378</v>
      </c>
      <c r="E30" t="s">
        <v>379</v>
      </c>
      <c r="F30" s="1">
        <v>1.3888888888888888E-5</v>
      </c>
      <c r="G30" t="s">
        <v>16</v>
      </c>
      <c r="H30">
        <v>5</v>
      </c>
      <c r="I30">
        <v>108</v>
      </c>
      <c r="J30">
        <v>113</v>
      </c>
      <c r="L30" t="s">
        <v>17</v>
      </c>
      <c r="M30" s="3">
        <f t="shared" si="0"/>
        <v>1.0179995326325297</v>
      </c>
      <c r="O30" s="23" t="s">
        <v>656</v>
      </c>
      <c r="P30" s="23"/>
      <c r="Q30" s="23"/>
      <c r="R30" s="23"/>
      <c r="T30" s="23" t="s">
        <v>667</v>
      </c>
      <c r="U30" s="23"/>
      <c r="V30" s="23"/>
      <c r="Y30" s="24" t="s">
        <v>672</v>
      </c>
      <c r="Z30" s="24"/>
      <c r="AA30" s="24"/>
      <c r="AD30" s="23" t="s">
        <v>704</v>
      </c>
      <c r="AE30" s="23"/>
      <c r="AF30" s="23"/>
      <c r="AG30" s="23"/>
      <c r="AH30" s="23"/>
    </row>
    <row r="31" spans="1:38" x14ac:dyDescent="0.25">
      <c r="A31" t="s">
        <v>12</v>
      </c>
      <c r="B31">
        <v>10</v>
      </c>
      <c r="C31" t="s">
        <v>57</v>
      </c>
      <c r="D31" t="s">
        <v>380</v>
      </c>
      <c r="E31" t="s">
        <v>381</v>
      </c>
      <c r="F31" s="1">
        <v>1.9675925925925925E-5</v>
      </c>
      <c r="G31" t="s">
        <v>16</v>
      </c>
      <c r="H31">
        <v>5</v>
      </c>
      <c r="I31">
        <v>108</v>
      </c>
      <c r="J31">
        <v>113</v>
      </c>
      <c r="L31" t="s">
        <v>17</v>
      </c>
      <c r="M31" s="3">
        <f t="shared" si="0"/>
        <v>1.0700002312660217</v>
      </c>
      <c r="O31" t="s">
        <v>645</v>
      </c>
      <c r="P31" t="str">
        <f>_xlfn.LET(
    _xlpm.sym_mean, Z9,
    _xlpm.dsl_mean, AA9,
    _xlpm.norm_mean, AB9,
    _xlpm.sym_risk, "🟡",
    _xlpm.dsl_risk, "🔴",
    _xlpm.norm_risk, "🔴",
    _xlpm.min_val, MIN(_xlpm.sym_mean, _xlpm.dsl_mean, _xlpm.norm_mean),
    _xlpm.tie_count, (_xlpm.sym_mean = _xlpm.min_val) + (_xlpm.dsl_mean = _xlpm.min_val) + (_xlpm.norm_mean = _xlpm.min_val),
    _xlpm.winner_format, IF(_xlpm.sym_mean = _xlpm.min_val, "Symbolic",
                     IF(_xlpm.dsl_mean = _xlpm.min_val, "DSL/JSON",
                        IF(_xlpm.norm_mean = _xlpm.min_val, "Normal", ""))),
    _xlpm.winner_risk, IF(_xlpm.sym_mean = _xlpm.min_val, _xlpm.sym_risk,
                   IF(_xlpm.dsl_mean = _xlpm.min_val, _xlpm.dsl_risk,
                      IF(_xlpm.norm_mean = _xlpm.min_val, _xlpm.norm_risk, ""))),
    IF(_xlpm.tie_count &gt; 1,
        "🤝 Tie",
        "🏆 " &amp; _xlpm.winner_format &amp; IF(_xlpm.winner_risk = "🟡", "⚠️", "")
    )
)</f>
        <v>🏆 Normal</v>
      </c>
      <c r="U31" s="20">
        <v>46084</v>
      </c>
      <c r="V31" s="20">
        <v>46086</v>
      </c>
      <c r="W31" t="s">
        <v>673</v>
      </c>
      <c r="Y31" s="21" t="s">
        <v>668</v>
      </c>
      <c r="Z31" s="21" t="s">
        <v>669</v>
      </c>
      <c r="AA31" s="21" t="s">
        <v>670</v>
      </c>
      <c r="AD31" t="s">
        <v>681</v>
      </c>
      <c r="AE31" s="7" t="s">
        <v>668</v>
      </c>
      <c r="AF31" s="7" t="s">
        <v>685</v>
      </c>
      <c r="AG31" s="7" t="s">
        <v>670</v>
      </c>
      <c r="AH31" s="7" t="s">
        <v>644</v>
      </c>
      <c r="AI31" s="7"/>
      <c r="AJ31" s="7"/>
      <c r="AK31" s="7"/>
    </row>
    <row r="32" spans="1:38" x14ac:dyDescent="0.25">
      <c r="A32" t="s">
        <v>78</v>
      </c>
      <c r="B32">
        <v>1</v>
      </c>
      <c r="C32" t="s">
        <v>13</v>
      </c>
      <c r="D32" t="s">
        <v>391</v>
      </c>
      <c r="E32" t="s">
        <v>392</v>
      </c>
      <c r="F32" s="1">
        <v>2.5462962962962965E-5</v>
      </c>
      <c r="G32" t="s">
        <v>16</v>
      </c>
      <c r="H32">
        <v>4</v>
      </c>
      <c r="I32">
        <v>74</v>
      </c>
      <c r="J32">
        <v>78</v>
      </c>
      <c r="L32" t="s">
        <v>17</v>
      </c>
      <c r="M32" s="3">
        <f t="shared" si="0"/>
        <v>2.2219999926164746</v>
      </c>
      <c r="O32" t="s">
        <v>646</v>
      </c>
      <c r="P32" t="str">
        <f>_xlfn.LET(
    _xlpm.sym_mean, AJ9,
    _xlpm.dsl_mean, AK9,
    _xlpm.norm_mean, AL9,
    _xlpm.sym_risk, "🟡",
    _xlpm.dsl_risk, "🔴",
    _xlpm.norm_risk, "🔴",
    _xlpm.min_val, MIN(_xlpm.sym_mean, _xlpm.dsl_mean, _xlpm.norm_mean),
    _xlpm.tie_count, (_xlpm.sym_mean = _xlpm.min_val) + (_xlpm.dsl_mean = _xlpm.min_val) + (_xlpm.norm_mean = _xlpm.min_val),
    _xlpm.winner_format, IF(_xlpm.sym_mean = _xlpm.min_val, "Symbolic",
                     IF(_xlpm.dsl_mean = _xlpm.min_val, "DSL/JSON",
                        IF(_xlpm.norm_mean = _xlpm.min_val, "Normal", ""))),
    _xlpm.winner_risk, IF(_xlpm.sym_mean = _xlpm.min_val, _xlpm.sym_risk,
                   IF(_xlpm.dsl_mean = _xlpm.min_val, _xlpm.dsl_risk,
                      IF(_xlpm.norm_mean = _xlpm.min_val, _xlpm.norm_risk, ""))),
    IF(_xlpm.tie_count &gt; 1,
        "🤝 Tie",
        "🏆 " &amp; _xlpm.winner_format &amp; IF(_xlpm.winner_risk = "🟡", "⚠️", "")
    )
)</f>
        <v>🏆 DSL/JSON</v>
      </c>
      <c r="T32" t="s">
        <v>382</v>
      </c>
      <c r="U32" t="str">
        <f>_xlfn.LET(
   _xlpm.symbolic, Z9,
   _xlpm.dsl_json, AA9,
   _xlpm.normal, AB9,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Normal (1.37s)</v>
      </c>
      <c r="V32" t="str">
        <f>_xlfn.LET(
   _xlpm.symbolic, AJ9,
   _xlpm.dsl_json, AK9,
   _xlpm.normal, AL9,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DSL/JSON (1.29s)</v>
      </c>
      <c r="W32" t="str">
        <f>_xlfn.LET(
   _xlpm.symbolic_eligible, $Y$32,
   _xlpm.dsl_eligible, $Z$32,
   _xlpm.normal_eligible, $AA$32,
   _xlpm.symbolic_warning, $Y$36,
   _xlpm.dsl_warning, $Z$36,
   _xlpm.normal_warning, $AA$36,
   _xlpm.symbolic_w1, $P$34,
   _xlpm.symbolic_w2, $P$34,
   _xlpm.symbolic_mean, ($P$34*Z9 + $P$34*AJ9)/($P$34*2),
   _xlpm.dsl_w1, $P$34,
   _xlpm.dsl_w2, $P$34,
   _xlpm.dsl_mean, ($P$34*AA9 + $P$34*AK9)/($P$34*2),
   _xlpm.normal_w1, $P$34,
   _xlpm.normal_w2, $P$34,
   _xlpm.normal_mean, ($P$34*AB9 + $P$34*AL9)/($P$34*2),
   _xlpm.eligible_means, IF(_xlpm.symbolic_eligible, _xlpm.symbolic_mean, 999) &amp; "," &amp;
                    IF(_xlpm.dsl_eligible, _xlpm.dsl_mean, 999) &amp; "," &amp;
                    IF(_xlpm.normal_eligible, _xlpm.normal_mean, 999),
   _xlpm.fastest, MIN(IF(_xlpm.symbolic_eligible, _xlpm.symbolic_mean, 999),
                IF(_xlpm.dsl_eligible, _xlpm.dsl_mean, 999),
                IF(_xlpm.normal_eligible, _xlpm.normal_mean, 999)),
   _xlpm.tie_count, (IF(_xlpm.symbolic_eligible, IF(_xlpm.symbolic_mean=_xlpm.fastest,1,0),0)) +
              (IF(_xlpm.dsl_eligible, IF(_xlpm.dsl_mean=_xlpm.fastest,1,0),0)) +
              (IF(_xlpm.normal_eligible, IF(_xlpm.normal_mean=_xlpm.fastest,1,0),0)),
   _xlpm.value_text, IF(AND(_xlpm.symbolic_eligible, _xlpm.symbolic_mean=_xlpm.fastest), TEXT(_xlpm.symbolic_mean, "0.00"),
                 IF(AND(_xlpm.dsl_eligible, _xlpm.dsl_mean=_xlpm.fastest), TEXT(_xlpm.dsl_mean, "0.00"),
                 IF(AND(_xlpm.normal_eligible, _xlpm.normal_mean=_xlpm.fastest), TEXT(_xlpm.normal_mean, "0.00"), ""))),
   _xlpm.winner_text, IF(_xlpm.tie_count=0, "⚠️ No Eligible Formats",
                 IF(_xlpm.tie_count&gt;1, "🤝 Tie (" &amp; TEXT(_xlpm.fastest, "0.00") &amp; "s)",
                    IF(AND(_xlpm.symbolic_eligible, _xlpm.symbolic_mean=_xlpm.fastest),
                       "🏆 Symbolic" &amp; _xlpm.symbolic_warning &amp; " (" &amp; _xlpm.value_text &amp; "s)",
                       IF(AND(_xlpm.dsl_eligible, _xlpm.dsl_mean=_xlpm.fastest),
                          "🏆 DSL/JSON" &amp; _xlpm.dsl_warning &amp; " (" &amp; _xlpm.value_text &amp; "s)",
                          IF(AND(_xlpm.normal_eligible, _xlpm.normal_mean=_xlpm.fastest),
                             "🏆 Normal" &amp; _xlpm.normal_warning &amp; " (" &amp; _xlpm.value_text &amp; "s)",
                             "Error"))))),
   _xlpm.winner_text
)</f>
        <v>🏆 DSL/JSON (1.38s)</v>
      </c>
      <c r="Y32" s="22" t="b">
        <f>IF(AND(Z21&lt;&gt;"🔴 SEVERE",Z21&lt;&gt;"🚨 CRITICAL",AJ21&lt;&gt;"🔴 SEVERE",AJ21&lt;&gt;"🚨 CRITICAL"), TRUE, FALSE)</f>
        <v>1</v>
      </c>
      <c r="Z32" s="22" t="b">
        <f t="shared" ref="Z32" si="24">IF(AND(AA21&lt;&gt;"🔴 SEVERE",AA21&lt;&gt;"🚨 CRITICAL",AK21&lt;&gt;"🔴 SEVERE",AK21&lt;&gt;"🚨 CRITICAL"), TRUE, FALSE)</f>
        <v>1</v>
      </c>
      <c r="AA32" s="22" t="b">
        <f>IF(AND(AB21&lt;&gt;"🔴 SEVERE",AB21&lt;&gt;"🚨 CRITICAL",AL21&lt;&gt;"🔴 SEVERE",AL21&lt;&gt;"🚨 CRITICAL"), TRUE, FALSE)</f>
        <v>1</v>
      </c>
      <c r="AB32" s="7"/>
      <c r="AD32" t="s">
        <v>682</v>
      </c>
      <c r="AE32" s="4">
        <f>Z9</f>
        <v>1.49</v>
      </c>
      <c r="AF32" s="4">
        <f>AA9</f>
        <v>1.46</v>
      </c>
      <c r="AG32" s="4">
        <f>AB9</f>
        <v>1.37</v>
      </c>
      <c r="AH32" t="str">
        <f>AJ41</f>
        <v>Normal</v>
      </c>
      <c r="AI32" s="7"/>
      <c r="AJ32" s="7"/>
      <c r="AK32" s="7"/>
    </row>
    <row r="33" spans="1:36" x14ac:dyDescent="0.25">
      <c r="A33" t="s">
        <v>78</v>
      </c>
      <c r="B33">
        <v>2</v>
      </c>
      <c r="C33" t="s">
        <v>13</v>
      </c>
      <c r="D33" t="s">
        <v>393</v>
      </c>
      <c r="E33" t="s">
        <v>394</v>
      </c>
      <c r="F33" s="1">
        <v>1.7361111111111111E-5</v>
      </c>
      <c r="G33" t="s">
        <v>16</v>
      </c>
      <c r="H33">
        <v>4</v>
      </c>
      <c r="I33">
        <v>74</v>
      </c>
      <c r="J33">
        <v>78</v>
      </c>
      <c r="L33" t="s">
        <v>17</v>
      </c>
      <c r="M33" s="3">
        <f t="shared" si="0"/>
        <v>1.4680002350360155</v>
      </c>
      <c r="O33" t="s">
        <v>644</v>
      </c>
      <c r="P33" t="str">
        <f>_xlfn.LET(
    _xlpm.sym_mean, P9,
    _xlpm.dsl_mean, Q9,
    _xlpm.norm_mean, R9,
    _xlpm.sym_risk, "🟡",
    _xlpm.dsl_risk, "🔴",
    _xlpm.norm_risk, "🔴",
    _xlpm.min_val, MIN(_xlpm.sym_mean, _xlpm.dsl_mean, _xlpm.norm_mean),
    _xlpm.tie_count, (_xlpm.sym_mean = _xlpm.min_val) + (_xlpm.dsl_mean = _xlpm.min_val) + (_xlpm.norm_mean = _xlpm.min_val),
    _xlpm.winner_format, IF(_xlpm.sym_mean = _xlpm.min_val, "Symbolic",
                     IF(_xlpm.dsl_mean = _xlpm.min_val, "DSL/JSON",
                        IF(_xlpm.norm_mean = _xlpm.min_val, "Normal", ""))),
    _xlpm.winner_risk, IF(_xlpm.sym_mean = _xlpm.min_val, _xlpm.sym_risk,
                   IF(_xlpm.dsl_mean = _xlpm.min_val, _xlpm.dsl_risk,
                      IF(_xlpm.norm_mean = _xlpm.min_val, _xlpm.norm_risk, ""))),
    IF(_xlpm.tie_count &gt; 1,
        "🤝 Tie",
        "🏆 " &amp; _xlpm.winner_format &amp; IF(_xlpm.winner_risk = "🟡", "⚠️", "")
    )
)</f>
        <v>🏆 DSL/JSON</v>
      </c>
      <c r="T33" t="s">
        <v>383</v>
      </c>
      <c r="U33" t="str">
        <f>_xlfn.LET(
   _xlpm.symbolic, Z10,
   _xlpm.dsl_json, AA10,
   _xlpm.normal, AB10,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Normal (1.37s)</v>
      </c>
      <c r="V33" t="str">
        <f>_xlfn.LET(
   _xlpm.symbolic, AJ10,
   _xlpm.dsl_json, AK10,
   _xlpm.normal, AL10,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DSL/JSON (1.28s)</v>
      </c>
      <c r="W33" t="str">
        <f>_xlfn.LET(
   _xlpm.symbolic_eligible, $Y$32,
   _xlpm.dsl_eligible, $Z$32,
   _xlpm.normal_eligible, $AA$32,
   _xlpm.symbolic_warning, $Y$36,
   _xlpm.dsl_warning, $Z$36,
   _xlpm.normal_warning, $AA$36,
   _xlpm.symbolic_w1, $P$34,
   _xlpm.symbolic_w2, $P$34,
   _xlpm.symbolic_mean, ($P$34*Z10 + $P$34*AJ10)/($P$34*2),
   _xlpm.dsl_w1, $P$34,
   _xlpm.dsl_w2, $P$34,
   _xlpm.dsl_mean, ($P$34*AA10 + $P$34*AK10)/($P$34*2),
   _xlpm.normal_w1, $P$34,
   _xlpm.normal_w2, $P$34,
   _xlpm.normal_mean, ($P$34*AB10 + $P$34*AL10)/($P$34*2),
   _xlpm.eligible_means, IF(_xlpm.symbolic_eligible, _xlpm.symbolic_mean, 999) &amp; "," &amp;
                    IF(_xlpm.dsl_eligible, _xlpm.dsl_mean, 999) &amp; "," &amp;
                    IF(_xlpm.normal_eligible, _xlpm.normal_mean, 999),
   _xlpm.fastest, MIN(IF(_xlpm.symbolic_eligible, _xlpm.symbolic_mean, 999),
                IF(_xlpm.dsl_eligible, _xlpm.dsl_mean, 999),
                IF(_xlpm.normal_eligible, _xlpm.normal_mean, 999)),
   _xlpm.tie_count, (IF(_xlpm.symbolic_eligible, IF(_xlpm.symbolic_mean=_xlpm.fastest,1,0),0)) +
              (IF(_xlpm.dsl_eligible, IF(_xlpm.dsl_mean=_xlpm.fastest,1,0),0)) +
              (IF(_xlpm.normal_eligible, IF(_xlpm.normal_mean=_xlpm.fastest,1,0),0)),
   _xlpm.value_text, IF(AND(_xlpm.symbolic_eligible, _xlpm.symbolic_mean=_xlpm.fastest), TEXT(_xlpm.symbolic_mean, "0.00"),
                 IF(AND(_xlpm.dsl_eligible, _xlpm.dsl_mean=_xlpm.fastest), TEXT(_xlpm.dsl_mean, "0.00"),
                 IF(AND(_xlpm.normal_eligible, _xlpm.normal_mean=_xlpm.fastest), TEXT(_xlpm.normal_mean, "0.00"), ""))),
   _xlpm.winner_text, IF(_xlpm.tie_count=0, "⚠️ No Eligible Formats",
                 IF(_xlpm.tie_count&gt;1, "🤝 Tie (" &amp; TEXT(_xlpm.fastest, "0.00") &amp; "s)",
                    IF(AND(_xlpm.symbolic_eligible, _xlpm.symbolic_mean=_xlpm.fastest),
                       "🏆 Symbolic" &amp; _xlpm.symbolic_warning &amp; " (" &amp; _xlpm.value_text &amp; "s)",
                       IF(AND(_xlpm.dsl_eligible, _xlpm.dsl_mean=_xlpm.fastest),
                          "🏆 DSL/JSON" &amp; _xlpm.dsl_warning &amp; " (" &amp; _xlpm.value_text &amp; "s)",
                          IF(AND(_xlpm.normal_eligible, _xlpm.normal_mean=_xlpm.fastest),
                             "🏆 Normal" &amp; _xlpm.normal_warning &amp; " (" &amp; _xlpm.value_text &amp; "s)",
                             "Error"))))),
   _xlpm.winner_text
)</f>
        <v>🏆 DSL/JSON (1.36s)</v>
      </c>
      <c r="Y33" s="18"/>
      <c r="Z33" s="7"/>
      <c r="AB33" s="7"/>
      <c r="AD33" t="s">
        <v>683</v>
      </c>
      <c r="AE33" s="4">
        <f>AJ9</f>
        <v>1.38</v>
      </c>
      <c r="AF33" s="4">
        <f>AK9</f>
        <v>1.29</v>
      </c>
      <c r="AG33" s="4">
        <f>AL9</f>
        <v>1.44</v>
      </c>
      <c r="AH33" t="str">
        <f>AJ42</f>
        <v>DSL/JSON</v>
      </c>
    </row>
    <row r="34" spans="1:36" ht="16.5" x14ac:dyDescent="0.3">
      <c r="A34" t="s">
        <v>78</v>
      </c>
      <c r="B34">
        <v>3</v>
      </c>
      <c r="C34" t="s">
        <v>13</v>
      </c>
      <c r="D34" t="s">
        <v>395</v>
      </c>
      <c r="E34" t="s">
        <v>396</v>
      </c>
      <c r="F34" s="1">
        <v>1.3888888888888888E-5</v>
      </c>
      <c r="G34" t="s">
        <v>16</v>
      </c>
      <c r="H34">
        <v>4</v>
      </c>
      <c r="I34">
        <v>74</v>
      </c>
      <c r="J34">
        <v>78</v>
      </c>
      <c r="L34" t="s">
        <v>17</v>
      </c>
      <c r="M34" s="3">
        <f t="shared" si="0"/>
        <v>1.1980000650510192</v>
      </c>
      <c r="O34" t="s">
        <v>657</v>
      </c>
      <c r="P34">
        <v>8</v>
      </c>
      <c r="T34" t="s">
        <v>633</v>
      </c>
      <c r="U34" t="str">
        <f>_xlfn.LET(
   _xlpm.symbolic, Z13,
   _xlpm.dsl_json, AA13,
   _xlpm.normal, AB13,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Normal (1.12s)</v>
      </c>
      <c r="V34" t="str">
        <f>_xlfn.LET(
   _xlpm.symbolic, AJ13,
   _xlpm.dsl_json, AK13,
   _xlpm.normal, AL13,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DSL/JSON (1.09s)</v>
      </c>
      <c r="W34" t="str">
        <f>_xlfn.LET(
   _xlpm.symbolic_eligible, $Y$32,
   _xlpm.dsl_eligible, $Z$32,
   _xlpm.normal_eligible, $AA$32,
   _xlpm.symbolic_warning, $Y$36,
   _xlpm.dsl_warning, $Z$36,
   _xlpm.normal_warning, $AA$36,
   _xlpm.symbolic_w1, $P$34,
   _xlpm.symbolic_w2, $P$34,
   _xlpm.symbolic_mean, ($P$34*Z13 + $P$34*AJ13)/($P$34*2),
   _xlpm.dsl_w1, $P$34,
   _xlpm.dsl_w2, $P$34,
   _xlpm.dsl_mean, ($P$34*AA13 + $P$34*AK13)/($P$34*2),
   _xlpm.normal_w1, $P$34,
   _xlpm.normal_w2, $P$34,
   _xlpm.normal_mean, ($P$34*AB13 + $P$34*AL13)/($P$34*2),
   _xlpm.eligible_means, IF(_xlpm.symbolic_eligible, _xlpm.symbolic_mean, 999) &amp; "," &amp;
                    IF(_xlpm.dsl_eligible, _xlpm.dsl_mean, 999) &amp; "," &amp;
                    IF(_xlpm.normal_eligible, _xlpm.normal_mean, 999),
   _xlpm.fastest, MIN(IF(_xlpm.symbolic_eligible, _xlpm.symbolic_mean, 999),
                IF(_xlpm.dsl_eligible, _xlpm.dsl_mean, 999),
                IF(_xlpm.normal_eligible, _xlpm.normal_mean, 999)),
   _xlpm.tie_count, (IF(_xlpm.symbolic_eligible, IF(_xlpm.symbolic_mean=_xlpm.fastest,1,0),0)) +
              (IF(_xlpm.dsl_eligible, IF(_xlpm.dsl_mean=_xlpm.fastest,1,0),0)) +
              (IF(_xlpm.normal_eligible, IF(_xlpm.normal_mean=_xlpm.fastest,1,0),0)),
   _xlpm.value_text, IF(AND(_xlpm.symbolic_eligible, _xlpm.symbolic_mean=_xlpm.fastest), TEXT(_xlpm.symbolic_mean, "0.00"),
                 IF(AND(_xlpm.dsl_eligible, _xlpm.dsl_mean=_xlpm.fastest), TEXT(_xlpm.dsl_mean, "0.00"),
                 IF(AND(_xlpm.normal_eligible, _xlpm.normal_mean=_xlpm.fastest), TEXT(_xlpm.normal_mean, "0.00"), ""))),
   _xlpm.winner_text, IF(_xlpm.tie_count=0, "⚠️ No Eligible Formats",
                 IF(_xlpm.tie_count&gt;1, "🤝 Tie (" &amp; TEXT(_xlpm.fastest, "0.00") &amp; "s)",
                    IF(AND(_xlpm.symbolic_eligible, _xlpm.symbolic_mean=_xlpm.fastest),
                       "🏆 Symbolic" &amp; _xlpm.symbolic_warning &amp; " (" &amp; _xlpm.value_text &amp; "s)",
                       IF(AND(_xlpm.dsl_eligible, _xlpm.dsl_mean=_xlpm.fastest),
                          "🏆 DSL/JSON" &amp; _xlpm.dsl_warning &amp; " (" &amp; _xlpm.value_text &amp; "s)",
                          IF(AND(_xlpm.normal_eligible, _xlpm.normal_mean=_xlpm.fastest),
                             "🏆 Normal" &amp; _xlpm.normal_warning &amp; " (" &amp; _xlpm.value_text &amp; "s)",
                             "Error"))))),
   _xlpm.winner_text
)</f>
        <v>🏆 Symbolic (1.16s)</v>
      </c>
      <c r="Y34" s="25" t="s">
        <v>671</v>
      </c>
      <c r="Z34" s="25"/>
      <c r="AA34" s="25"/>
      <c r="AB34" s="7"/>
      <c r="AD34" t="s">
        <v>644</v>
      </c>
      <c r="AE34" s="4">
        <f>SUM(AE32:AE33)/2</f>
        <v>1.4350000000000001</v>
      </c>
      <c r="AF34" s="4">
        <f t="shared" ref="AF34:AG34" si="25">SUM(AF32:AF33)/2</f>
        <v>1.375</v>
      </c>
      <c r="AG34" s="4">
        <f t="shared" si="25"/>
        <v>1.405</v>
      </c>
      <c r="AH34" t="str">
        <f>_xlfn.LET(
    _xlpm.sym_mean, Y44, _xlpm.sym_stability, AC44, _xlpm.sym_risk_m3, Z21, _xlpm.sym_risk_m5, AJ21,
    _xlpm.dsl_mean, Z44, _xlpm.dsl_stability, AD44, _xlpm.dsl_risk_m3, AA21, _xlpm.dsl_risk_m5, AK21,
    _xlpm.norm_mean, AA44, _xlpm.norm_stability, AE44, _xlpm.norm_risk_m3, AB21, _xlpm.norm_risk_m5, AL21,
    _xlpm.threshold, AJ55,
    _xlpm.min_mean, MIN(_xlpm.sym_mean, _xlpm.dsl_mean, _xlpm.norm_mean),
    _xlpm.tie_count, (_xlpm.sym_mean=_xlpm.min_mean)+(_xlpm.dsl_mean=_xlpm.min_mean)+(_xlpm.norm_mean=_xlpm.min_mean),
    _xlpm.all_tied, AND(ABS(_xlpm.sym_mean-_xlpm.dsl_mean)&lt;_xlpm.threshold, ABS(_xlpm.sym_mean-_xlpm.norm_mean)&lt;_xlpm.threshold, ABS(_xlpm.dsl_mean-_xlpm.norm_mean)&lt;_xlpm.threshold),
    IF(_xlpm.tie_count&gt;1,
        IF(_xlpm.all_tied,
            IF(AND(_xlpm.sym_stability&gt;=_xlpm.dsl_stability, _xlpm.sym_stability&gt;=_xlpm.norm_stability),
                "🏆 Symbolic" &amp; IF(OR(_xlpm.sym_risk_m3="🟡 MODERATE", _xlpm.sym_risk_m5="🟡 MODERATE"), "⚠️", "") &amp; " Conditional Winner (" &amp; TEXT(_xlpm.sym_mean,"0.00") &amp; "s)&lt;br&gt;&lt;sup&gt;⚖️ Three-way statistical tie | Symbolic wins on stability&lt;br&gt;&lt;/sup&gt;",
            IF(AND(_xlpm.dsl_stability&gt;=_xlpm.sym_stability, _xlpm.dsl_stability&gt;=_xlpm.norm_stability),
                "🏆 DSL/JSON" &amp; IF(OR(_xlpm.dsl_risk_m3="🟡 MODERATE", _xlpm.dsl_risk_m5="🟡 MODERATE"), "⚠️", "") &amp; " Conditional Winner (" &amp; TEXT(_xlpm.dsl_mean,"0.00") &amp; "s)&lt;br&gt;&lt;sup&gt;⚖️ Three-way statistical tie | DSL/JSON wins on stability&lt;br&gt;&lt;/sup&gt;",
                "🏆 Normal" &amp; IF(OR(_xlpm.norm_risk_m3="🟡 MODERATE", _xlpm.norm_risk_m5="🟡 MODERATE"), "⚠️", "") &amp; " Conditional Winner (" &amp; TEXT(_xlpm.norm_mean,"0.00") &amp; "s)&lt;br&gt;&lt;sup&gt;⚖️ Three-way statistical tie | Normal wins on stability&lt;br&gt;&lt;/sup&gt;")),
            "🏆 Need complex tie resolution"),
        IF(_xlpm.sym_mean=_xlpm.min_mean,
            "🏆 Symbolic" &amp; IF(OR(_xlpm.sym_risk_m3="🟡 MODERATE", _xlpm.sym_risk_m5="🟡 MODERATE"), "⚠️", "") &amp; " (" &amp; TEXT(_xlpm.sym_mean,"0.00") &amp; "s)",
        IF(_xlpm.dsl_mean=_xlpm.min_mean,
            "🏆 DSL/JSON" &amp; IF(OR(_xlpm.dsl_risk_m3="🟡 MODERATE", _xlpm.dsl_risk_m5="🟡 MODERATE"), "⚠️", "") &amp; " (" &amp; TEXT(_xlpm.dsl_mean,"0.00") &amp; "s)",
            "🏆 Normal" &amp; IF(OR(_xlpm.norm_risk_m3="🟡 MODERATE", _xlpm.norm_risk_m5="🟡 MODERATE"), "⚠️", "") &amp; " (" &amp; TEXT(_xlpm.norm_mean,"0.00") &amp; "s)")))
)</f>
        <v>🏆 DSL/JSON (1.38s)</v>
      </c>
    </row>
    <row r="35" spans="1:36" x14ac:dyDescent="0.25">
      <c r="A35" t="s">
        <v>78</v>
      </c>
      <c r="B35">
        <v>4</v>
      </c>
      <c r="C35" t="s">
        <v>13</v>
      </c>
      <c r="D35" t="s">
        <v>397</v>
      </c>
      <c r="E35" t="s">
        <v>398</v>
      </c>
      <c r="F35" s="1">
        <v>1.8518518518518518E-5</v>
      </c>
      <c r="G35" t="s">
        <v>16</v>
      </c>
      <c r="H35">
        <v>4</v>
      </c>
      <c r="I35">
        <v>74</v>
      </c>
      <c r="J35">
        <v>78</v>
      </c>
      <c r="L35" t="s">
        <v>17</v>
      </c>
      <c r="M35" s="3">
        <f t="shared" si="0"/>
        <v>1.5909998444840312</v>
      </c>
      <c r="O35" t="s">
        <v>658</v>
      </c>
      <c r="P35">
        <f>($P$34*Z9+AJ9*$P$34)/($P$34*2)</f>
        <v>1.4350000000000001</v>
      </c>
      <c r="T35" t="s">
        <v>674</v>
      </c>
      <c r="U35" t="str">
        <f>_xlfn.LET(
   _xlpm.symbolic, Z14,
   _xlpm.dsl_json, AA14,
   _xlpm.normal, AB14,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Normal (1.70s)</v>
      </c>
      <c r="V35" t="str">
        <f>_xlfn.LET(
   _xlpm.symbolic, AJ14,
   _xlpm.dsl_json, AK14,
   _xlpm.normal, AL14,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DSL/JSON (1.48s)</v>
      </c>
      <c r="W35" t="str">
        <f>_xlfn.LET(
   _xlpm.symbolic_eligible, $Y$32,
   _xlpm.dsl_eligible, $Z$32,
   _xlpm.normal_eligible, $AA$32,
   _xlpm.symbolic_warning, $Y$36,
   _xlpm.dsl_warning, $Z$36,
   _xlpm.normal_warning, $AA$36,
   _xlpm.symbolic_w1, $P$34,
   _xlpm.symbolic_w2, $P$34,
   _xlpm.symbolic_mean, ($P$34*Z14 + $P$34*AJ14)/($P$34*2),
   _xlpm.dsl_w1, $P$34,
   _xlpm.dsl_w2, $P$34,
   _xlpm.dsl_mean, ($P$34*AA14 + $P$34*AK14)/($P$34*2),
   _xlpm.normal_w1, $P$34,
   _xlpm.normal_w2, $P$34,
   _xlpm.normal_mean, ($P$34*AB14 + $P$34*AL14)/($P$34*2),
   _xlpm.eligible_means, IF(_xlpm.symbolic_eligible, _xlpm.symbolic_mean, 999) &amp; "," &amp;
                    IF(_xlpm.dsl_eligible, _xlpm.dsl_mean, 999) &amp; "," &amp;
                    IF(_xlpm.normal_eligible, _xlpm.normal_mean, 999),
   _xlpm.fastest, MIN(IF(_xlpm.symbolic_eligible, _xlpm.symbolic_mean, 999),
                IF(_xlpm.dsl_eligible, _xlpm.dsl_mean, 999),
                IF(_xlpm.normal_eligible, _xlpm.normal_mean, 999)),
   _xlpm.tie_count, (IF(_xlpm.symbolic_eligible, IF(_xlpm.symbolic_mean=_xlpm.fastest,1,0),0)) +
              (IF(_xlpm.dsl_eligible, IF(_xlpm.dsl_mean=_xlpm.fastest,1,0),0)) +
              (IF(_xlpm.normal_eligible, IF(_xlpm.normal_mean=_xlpm.fastest,1,0),0)),
   _xlpm.value_text, IF(AND(_xlpm.symbolic_eligible, _xlpm.symbolic_mean=_xlpm.fastest), TEXT(_xlpm.symbolic_mean, "0.00"),
                 IF(AND(_xlpm.dsl_eligible, _xlpm.dsl_mean=_xlpm.fastest), TEXT(_xlpm.dsl_mean, "0.00"),
                 IF(AND(_xlpm.normal_eligible, _xlpm.normal_mean=_xlpm.fastest), TEXT(_xlpm.normal_mean, "0.00"), ""))),
   _xlpm.winner_text, IF(_xlpm.tie_count=0, "⚠️ No Eligible Formats",
                 IF(_xlpm.tie_count&gt;1, "🤝 Tie (" &amp; TEXT(_xlpm.fastest, "0.00") &amp; "s)",
                    IF(AND(_xlpm.symbolic_eligible, _xlpm.symbolic_mean=_xlpm.fastest),
                       "🏆 Symbolic" &amp; _xlpm.symbolic_warning &amp; " (" &amp; _xlpm.value_text &amp; "s)",
                       IF(AND(_xlpm.dsl_eligible, _xlpm.dsl_mean=_xlpm.fastest),
                          "🏆 DSL/JSON" &amp; _xlpm.dsl_warning &amp; " (" &amp; _xlpm.value_text &amp; "s)",
                          IF(AND(_xlpm.normal_eligible, _xlpm.normal_mean=_xlpm.fastest),
                             "🏆 Normal" &amp; _xlpm.normal_warning &amp; " (" &amp; _xlpm.value_text &amp; "s)",
                             "Error"))))),
   _xlpm.winner_text
)</f>
        <v>🏆 DSL/JSON (1.60s)</v>
      </c>
      <c r="Y35" s="21" t="s">
        <v>668</v>
      </c>
      <c r="Z35" s="21" t="s">
        <v>669</v>
      </c>
      <c r="AA35" s="21" t="s">
        <v>670</v>
      </c>
      <c r="AE35" s="4"/>
      <c r="AF35" s="4"/>
      <c r="AG35" s="4"/>
      <c r="AI35" s="23" t="s">
        <v>686</v>
      </c>
      <c r="AJ35" s="23"/>
    </row>
    <row r="36" spans="1:36" x14ac:dyDescent="0.25">
      <c r="A36" t="s">
        <v>78</v>
      </c>
      <c r="B36">
        <v>5</v>
      </c>
      <c r="C36" t="s">
        <v>13</v>
      </c>
      <c r="D36" t="s">
        <v>399</v>
      </c>
      <c r="E36" t="s">
        <v>400</v>
      </c>
      <c r="F36" s="1">
        <v>1.7361111111111111E-5</v>
      </c>
      <c r="G36" t="s">
        <v>16</v>
      </c>
      <c r="H36">
        <v>4</v>
      </c>
      <c r="I36">
        <v>74</v>
      </c>
      <c r="J36">
        <v>78</v>
      </c>
      <c r="L36" t="s">
        <v>17</v>
      </c>
      <c r="M36" s="3">
        <f t="shared" si="0"/>
        <v>1.4559994451701641</v>
      </c>
      <c r="O36" t="s">
        <v>659</v>
      </c>
      <c r="P36">
        <f>($P$34*AA9+AK9*$P$34)/($P$34*2)</f>
        <v>1.375</v>
      </c>
      <c r="T36" t="s">
        <v>675</v>
      </c>
      <c r="U36" t="str">
        <f>_xlfn.LET(
   _xlpm.symbolic, Z15,
   _xlpm.dsl_json, AA15,
   _xlpm.normal, AB15,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🤝 Tie (0.16s)</v>
      </c>
      <c r="V36" t="str">
        <f>_xlfn.LET(
   _xlpm.symbolic, AJ15,
   _xlpm.dsl_json, AK15,
   _xlpm.normal, AL15,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Normal (0.11s)</v>
      </c>
      <c r="W36" t="str">
        <f>_xlfn.LET(
   _xlpm.symbolic_eligible, $Y$32,
   _xlpm.dsl_eligible, $Z$32,
   _xlpm.normal_eligible, $AA$32,
   _xlpm.symbolic_warning, $Y$36,
   _xlpm.dsl_warning, $Z$36,
   _xlpm.normal_warning, $AA$36,
   _xlpm.symbolic_w1, $P$34,
   _xlpm.symbolic_w2, $P$34,
   _xlpm.symbolic_mean, ($P$34*Z15 + $P$34*AJ15)/($P$34*2),
   _xlpm.dsl_w1, $P$34,
   _xlpm.dsl_w2, $P$34,
   _xlpm.dsl_mean, ($P$34*AA15 + $P$34*AK15)/($P$34*2),
   _xlpm.normal_w1, $P$34,
   _xlpm.normal_w2, $P$34,
   _xlpm.normal_mean, ($P$34*AB15 + $P$34*AL15)/($P$34*2),
   _xlpm.eligible_means, IF(_xlpm.symbolic_eligible, _xlpm.symbolic_mean, 999) &amp; "," &amp;
                    IF(_xlpm.dsl_eligible, _xlpm.dsl_mean, 999) &amp; "," &amp;
                    IF(_xlpm.normal_eligible, _xlpm.normal_mean, 999),
   _xlpm.fastest, MIN(IF(_xlpm.symbolic_eligible, _xlpm.symbolic_mean, 999),
                IF(_xlpm.dsl_eligible, _xlpm.dsl_mean, 999),
                IF(_xlpm.normal_eligible, _xlpm.normal_mean, 999)),
   _xlpm.tie_count, (IF(_xlpm.symbolic_eligible, IF(_xlpm.symbolic_mean=_xlpm.fastest,1,0),0)) +
              (IF(_xlpm.dsl_eligible, IF(_xlpm.dsl_mean=_xlpm.fastest,1,0),0)) +
              (IF(_xlpm.normal_eligible, IF(_xlpm.normal_mean=_xlpm.fastest,1,0),0)),
   _xlpm.value_text, IF(AND(_xlpm.symbolic_eligible, _xlpm.symbolic_mean=_xlpm.fastest), TEXT(_xlpm.symbolic_mean, "0.00"),
                 IF(AND(_xlpm.dsl_eligible, _xlpm.dsl_mean=_xlpm.fastest), TEXT(_xlpm.dsl_mean, "0.00"),
                 IF(AND(_xlpm.normal_eligible, _xlpm.normal_mean=_xlpm.fastest), TEXT(_xlpm.normal_mean, "0.00"), ""))),
   _xlpm.winner_text, IF(_xlpm.tie_count=0, "⚠️ No Eligible Formats",
                 IF(_xlpm.tie_count&gt;1, "🤝 Tie (" &amp; TEXT(_xlpm.fastest, "0.00") &amp; "s)",
                    IF(AND(_xlpm.symbolic_eligible, _xlpm.symbolic_mean=_xlpm.fastest),
                       "🏆 Symbolic" &amp; _xlpm.symbolic_warning &amp; " (" &amp; _xlpm.value_text &amp; "s)",
                       IF(AND(_xlpm.dsl_eligible, _xlpm.dsl_mean=_xlpm.fastest),
                          "🏆 DSL/JSON" &amp; _xlpm.dsl_warning &amp; " (" &amp; _xlpm.value_text &amp; "s)",
                          IF(AND(_xlpm.normal_eligible, _xlpm.normal_mean=_xlpm.fastest),
                             "🏆 Normal" &amp; _xlpm.normal_warning &amp; " (" &amp; _xlpm.value_text &amp; "s)",
                             "Error"))))),
   _xlpm.winner_text
)</f>
        <v>🏆 Normal (0.14s)</v>
      </c>
      <c r="Y36" s="22" t="str">
        <f>IF(AND(Y32=TRUE,OR(Z21="🟡 MODERATE",AJ21="🟡 MODERATE")), "⚠️", "")</f>
        <v/>
      </c>
      <c r="Z36" s="22" t="str">
        <f t="shared" ref="Z36:AA36" si="26">IF(AND(Z32=TRUE,OR(AA21="🟡 MODERATE",AK21="🟡 MODERATE")), "⚠️", "")</f>
        <v/>
      </c>
      <c r="AA36" s="22" t="str">
        <f t="shared" si="26"/>
        <v/>
      </c>
      <c r="AE36" s="4"/>
      <c r="AF36" s="4"/>
      <c r="AG36" s="4"/>
      <c r="AI36" t="s">
        <v>687</v>
      </c>
      <c r="AJ36" t="s">
        <v>688</v>
      </c>
    </row>
    <row r="37" spans="1:36" x14ac:dyDescent="0.25">
      <c r="A37" t="s">
        <v>78</v>
      </c>
      <c r="B37">
        <v>6</v>
      </c>
      <c r="C37" t="s">
        <v>13</v>
      </c>
      <c r="D37" t="s">
        <v>401</v>
      </c>
      <c r="E37" t="s">
        <v>402</v>
      </c>
      <c r="F37" s="1">
        <v>1.7361111111111111E-5</v>
      </c>
      <c r="G37" t="s">
        <v>16</v>
      </c>
      <c r="H37">
        <v>4</v>
      </c>
      <c r="I37">
        <v>74</v>
      </c>
      <c r="J37">
        <v>78</v>
      </c>
      <c r="L37" t="s">
        <v>17</v>
      </c>
      <c r="M37" s="3">
        <f t="shared" si="0"/>
        <v>1.5409994870424271</v>
      </c>
      <c r="O37" t="s">
        <v>660</v>
      </c>
      <c r="P37">
        <f>($P$34*AB9+AL9*$P$34)/($P$34*2)</f>
        <v>1.405</v>
      </c>
      <c r="T37" t="s">
        <v>676</v>
      </c>
      <c r="U37" t="str">
        <f>_xlfn.LET(
   _xlpm.symbolic, Z17,
   _xlpm.dsl_json, AA17,
   _xlpm.normal, AB17,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Normal (1.62s)</v>
      </c>
      <c r="V37" t="str">
        <f>_xlfn.LET(
   _xlpm.symbolic, AJ17,
   _xlpm.dsl_json, AK17,
   _xlpm.normal, AL17,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DSL/JSON (1.48s)</v>
      </c>
      <c r="W37" t="str">
        <f>_xlfn.LET(
   _xlpm.symbolic_eligible, $Y$32,
   _xlpm.dsl_eligible, $Z$32,
   _xlpm.normal_eligible, $AA$32,
   _xlpm.symbolic_warning, $Y$36,
   _xlpm.dsl_warning, $Z$36,
   _xlpm.normal_warning, $AA$36,
   _xlpm.symbolic_w1, $P$34,
   _xlpm.symbolic_w2, $P$34,
   _xlpm.symbolic_mean, ($P$34*Z17 + $P$34*AJ17)/($P$34*2),
   _xlpm.dsl_w1, $P$34,
   _xlpm.dsl_w2, $P$34,
   _xlpm.dsl_mean, ($P$34*AA17 + $P$34*AK17)/($P$34*2),
   _xlpm.normal_w1, $P$34,
   _xlpm.normal_w2, $P$34,
   _xlpm.normal_mean, ($P$34*AB17 + $P$34*AL17)/($P$34*2),
   _xlpm.eligible_means, IF(_xlpm.symbolic_eligible, _xlpm.symbolic_mean, 999) &amp; "," &amp;
                    IF(_xlpm.dsl_eligible, _xlpm.dsl_mean, 999) &amp; "," &amp;
                    IF(_xlpm.normal_eligible, _xlpm.normal_mean, 999),
   _xlpm.fastest, MIN(IF(_xlpm.symbolic_eligible, _xlpm.symbolic_mean, 999),
                IF(_xlpm.dsl_eligible, _xlpm.dsl_mean, 999),
                IF(_xlpm.normal_eligible, _xlpm.normal_mean, 999)),
   _xlpm.tie_count, (IF(_xlpm.symbolic_eligible, IF(_xlpm.symbolic_mean=_xlpm.fastest,1,0),0)) +
              (IF(_xlpm.dsl_eligible, IF(_xlpm.dsl_mean=_xlpm.fastest,1,0),0)) +
              (IF(_xlpm.normal_eligible, IF(_xlpm.normal_mean=_xlpm.fastest,1,0),0)),
   _xlpm.value_text, IF(AND(_xlpm.symbolic_eligible, _xlpm.symbolic_mean=_xlpm.fastest), TEXT(_xlpm.symbolic_mean, "0.00"),
                 IF(AND(_xlpm.dsl_eligible, _xlpm.dsl_mean=_xlpm.fastest), TEXT(_xlpm.dsl_mean, "0.00"),
                 IF(AND(_xlpm.normal_eligible, _xlpm.normal_mean=_xlpm.fastest), TEXT(_xlpm.normal_mean, "0.00"), ""))),
   _xlpm.winner_text, IF(_xlpm.tie_count=0, "⚠️ No Eligible Formats",
                 IF(_xlpm.tie_count&gt;1, "🤝 Tie (" &amp; TEXT(_xlpm.fastest, "0.00") &amp; "s)",
                    IF(AND(_xlpm.symbolic_eligible, _xlpm.symbolic_mean=_xlpm.fastest),
                       "🏆 Symbolic" &amp; _xlpm.symbolic_warning &amp; " (" &amp; _xlpm.value_text &amp; "s)",
                       IF(AND(_xlpm.dsl_eligible, _xlpm.dsl_mean=_xlpm.fastest),
                          "🏆 DSL/JSON" &amp; _xlpm.dsl_warning &amp; " (" &amp; _xlpm.value_text &amp; "s)",
                          IF(AND(_xlpm.normal_eligible, _xlpm.normal_mean=_xlpm.fastest),
                             "🏆 Normal" &amp; _xlpm.normal_warning &amp; " (" &amp; _xlpm.value_text &amp; "s)",
                             "Error"))))),
   _xlpm.winner_text
)</f>
        <v>🏆 Normal (1.58s)</v>
      </c>
      <c r="Z37" s="7"/>
      <c r="AE37" s="4"/>
      <c r="AF37" s="4"/>
      <c r="AG37" s="4"/>
      <c r="AI37" t="s">
        <v>689</v>
      </c>
      <c r="AJ37">
        <f>MIN(IF(AND(Y32=TRUE, Y40="✅ ELIGIBLE"), Y44, 9999),
     IF(AND(Z32=TRUE, Z40="✅ ELIGIBLE"), Z44, 9999),
     IF(AND(AA32=TRUE, AA40="✅ ELIGIBLE"), AA44, 9999))</f>
        <v>1.38</v>
      </c>
    </row>
    <row r="38" spans="1:36" x14ac:dyDescent="0.25">
      <c r="A38" t="s">
        <v>78</v>
      </c>
      <c r="B38">
        <v>7</v>
      </c>
      <c r="C38" t="s">
        <v>13</v>
      </c>
      <c r="D38" t="s">
        <v>403</v>
      </c>
      <c r="E38" t="s">
        <v>404</v>
      </c>
      <c r="F38" s="1">
        <v>1.8518518518518518E-5</v>
      </c>
      <c r="G38" t="s">
        <v>16</v>
      </c>
      <c r="H38">
        <v>4</v>
      </c>
      <c r="I38">
        <v>74</v>
      </c>
      <c r="J38">
        <v>78</v>
      </c>
      <c r="L38" t="s">
        <v>17</v>
      </c>
      <c r="M38" s="3">
        <f t="shared" si="0"/>
        <v>1.567000150680542</v>
      </c>
      <c r="O38" t="s">
        <v>661</v>
      </c>
      <c r="P38">
        <f>MIN(P9:R9)*0.05</f>
        <v>6.9999999999999993E-2</v>
      </c>
      <c r="T38" t="s">
        <v>677</v>
      </c>
      <c r="U38" t="str">
        <f>_xlfn.LET(
   _xlpm.symbolic, Z19,
   _xlpm.dsl_json, AA19,
   _xlpm.normal, AB19,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Normal (0.13s)</v>
      </c>
      <c r="V38" t="str">
        <f>_xlfn.LET(
   _xlpm.symbolic, AJ19,
   _xlpm.dsl_json, AK19,
   _xlpm.normal, AL19,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Symbolic (0.10s)</v>
      </c>
      <c r="W38" t="str">
        <f>_xlfn.LET(
   _xlpm.symbolic_eligible, $Y$32,
   _xlpm.dsl_eligible, $Z$32,
   _xlpm.normal_eligible, $AA$32,
   _xlpm.symbolic_warning, $Y$36,
   _xlpm.dsl_warning, $Z$36,
   _xlpm.normal_warning, $AA$36,
   _xlpm.symbolic_w1, $P$34,
   _xlpm.symbolic_w2, $P$34,
   _xlpm.symbolic_mean, ($P$34*Z19 + $P$34*AJ19)/($P$34*2),
   _xlpm.dsl_w1, $P$34,
   _xlpm.dsl_w2, $P$34,
   _xlpm.dsl_mean, ($P$34*AA19 + $P$34*AK19)/($P$34*2),
   _xlpm.normal_w1, $P$34,
   _xlpm.normal_w2, $P$34,
   _xlpm.normal_mean, ($P$34*AB19 + $P$34*AL19)/($P$34*2),
   _xlpm.eligible_means, IF(_xlpm.symbolic_eligible, _xlpm.symbolic_mean, 999) &amp; "," &amp;
                    IF(_xlpm.dsl_eligible, _xlpm.dsl_mean, 999) &amp; "," &amp;
                    IF(_xlpm.normal_eligible, _xlpm.normal_mean, 999),
   _xlpm.fastest, MIN(IF(_xlpm.symbolic_eligible, _xlpm.symbolic_mean, 999),
                IF(_xlpm.dsl_eligible, _xlpm.dsl_mean, 999),
                IF(_xlpm.normal_eligible, _xlpm.normal_mean, 999)),
   _xlpm.tie_count, (IF(_xlpm.symbolic_eligible, IF(_xlpm.symbolic_mean=_xlpm.fastest,1,0),0)) +
              (IF(_xlpm.dsl_eligible, IF(_xlpm.dsl_mean=_xlpm.fastest,1,0),0)) +
              (IF(_xlpm.normal_eligible, IF(_xlpm.normal_mean=_xlpm.fastest,1,0),0)),
   _xlpm.value_text, IF(AND(_xlpm.symbolic_eligible, _xlpm.symbolic_mean=_xlpm.fastest), TEXT(_xlpm.symbolic_mean, "0.00"),
                 IF(AND(_xlpm.dsl_eligible, _xlpm.dsl_mean=_xlpm.fastest), TEXT(_xlpm.dsl_mean, "0.00"),
                 IF(AND(_xlpm.normal_eligible, _xlpm.normal_mean=_xlpm.fastest), TEXT(_xlpm.normal_mean, "0.00"), ""))),
   _xlpm.winner_text, IF(_xlpm.tie_count=0, "⚠️ No Eligible Formats",
                 IF(_xlpm.tie_count&gt;1, "🤝 Tie (" &amp; TEXT(_xlpm.fastest, "0.00") &amp; "s)",
                    IF(AND(_xlpm.symbolic_eligible, _xlpm.symbolic_mean=_xlpm.fastest),
                       "🏆 Symbolic" &amp; _xlpm.symbolic_warning &amp; " (" &amp; _xlpm.value_text &amp; "s)",
                       IF(AND(_xlpm.dsl_eligible, _xlpm.dsl_mean=_xlpm.fastest),
                          "🏆 DSL/JSON" &amp; _xlpm.dsl_warning &amp; " (" &amp; _xlpm.value_text &amp; "s)",
                          IF(AND(_xlpm.normal_eligible, _xlpm.normal_mean=_xlpm.fastest),
                             "🏆 Normal" &amp; _xlpm.normal_warning &amp; " (" &amp; _xlpm.value_text &amp; "s)",
                             "Error"))))),
   _xlpm.winner_text
)</f>
        <v>🤝 Tie (0.14s)</v>
      </c>
      <c r="Y38" s="24" t="s">
        <v>684</v>
      </c>
      <c r="Z38" s="24"/>
      <c r="AA38" s="24"/>
      <c r="AE38" s="4"/>
      <c r="AF38" s="4"/>
      <c r="AG38" s="4"/>
      <c r="AI38" t="s">
        <v>690</v>
      </c>
      <c r="AJ38">
        <f>ROUND(AJ37 * 0.05,2)</f>
        <v>7.0000000000000007E-2</v>
      </c>
    </row>
    <row r="39" spans="1:36" x14ac:dyDescent="0.25">
      <c r="A39" t="s">
        <v>78</v>
      </c>
      <c r="B39">
        <v>8</v>
      </c>
      <c r="C39" t="s">
        <v>13</v>
      </c>
      <c r="D39" t="s">
        <v>405</v>
      </c>
      <c r="E39" t="s">
        <v>406</v>
      </c>
      <c r="F39" s="1">
        <v>2.0833333333333333E-5</v>
      </c>
      <c r="G39" t="s">
        <v>16</v>
      </c>
      <c r="H39">
        <v>4</v>
      </c>
      <c r="I39">
        <v>74</v>
      </c>
      <c r="J39">
        <v>78</v>
      </c>
      <c r="L39" t="s">
        <v>17</v>
      </c>
      <c r="M39" s="3">
        <f t="shared" si="0"/>
        <v>1.8309999257326126</v>
      </c>
      <c r="O39" t="s">
        <v>647</v>
      </c>
      <c r="P39" t="str">
        <f>_xlfn.LET(
    _xlpm.sym_mean, P9,
    _xlpm.dsl_mean, Q9,
    _xlpm.norm_mean, R9,
    _xlpm.sym_iqr_m3, Z20,
    _xlpm.dsl_iqr_m3, AA20,
    _xlpm.norm_iqr_m3, AB20,
    _xlpm.sym_p95_m3, Z17,
    _xlpm.dsl_p95_m3, AA17,
    _xlpm.norm_p95_m3, AB17,
    _xlpm.sym_iqr_m5, AJ20,
    _xlpm.dsl_iqr_m5, AK20,
    _xlpm.norm_iqr_m5, AL20,
    _xlpm.sym_p95_m5, AJ17,
    _xlpm.dsl_p95_m5, AK17,
    _xlpm.norm_p95_m5, AL17,
    _xlpm.t_m3, AB28,
    _xlpm.t_m5, AL28,
    _xlpm.threshold, P38,
    _xlpm.sym_risk_m3, IF(_xlpm.sym_iqr_m3 &lt; 20, "✅",
                   IF(AND(_xlpm.sym_iqr_m3 &gt;= 20, _xlpm.sym_iqr_m3 &lt; 30),
                       IF(_xlpm.sym_p95_m3 &lt; _xlpm.t_m3, "🟡", "🔴"),
                       IF(AND(_xlpm.sym_iqr_m3 &gt;= 30, _xlpm.sym_iqr_m3 &lt;= 50), "🔴",
                           IF(_xlpm.sym_iqr_m3 &gt; 50, "🚨", "⚠️")))),
    _xlpm.dsl_risk_m3, IF(_xlpm.dsl_iqr_m3 &lt; 20, "✅",
                   IF(AND(_xlpm.dsl_iqr_m3 &gt;= 20, _xlpm.dsl_iqr_m3 &lt; 30),
                       IF(_xlpm.dsl_p95_m3 &lt; _xlpm.t_m3, "🟡", "🔴"),
                       IF(AND(_xlpm.dsl_iqr_m3 &gt;= 30, _xlpm.dsl_iqr_m3 &lt;= 50), "🔴",
                           IF(_xlpm.dsl_iqr_m3 &gt; 50, "🚨", "⚠️")))),
    _xlpm.norm_risk_m3, IF(_xlpm.norm_iqr_m3 &lt; 20, "✅",
                    IF(AND(_xlpm.norm_iqr_m3 &gt;= 20, _xlpm.norm_iqr_m3 &lt; 30),
                        IF(_xlpm.norm_p95_m3 &lt; _xlpm.t_m3, "🟡", "🔴"),
                        IF(AND(_xlpm.norm_iqr_m3 &gt;= 30, _xlpm.norm_iqr_m3 &lt;= 50), "🔴",
                            IF(_xlpm.norm_iqr_m3 &gt; 50, "🚨", "⚠️")))),
    _xlpm.sym_risk_m5, IF(_xlpm.sym_iqr_m5 &lt; 20, "✅",
                   IF(AND(_xlpm.sym_iqr_m5 &gt;= 20, _xlpm.sym_iqr_m5 &lt; 30),
                       IF(_xlpm.sym_p95_m5 &lt; _xlpm.t_m5, "🟡", "🔴"),
                       IF(AND(_xlpm.sym_iqr_m5 &gt;= 30, _xlpm.sym_iqr_m5 &lt;= 50), "🔴",
                           IF(_xlpm.sym_iqr_m5 &gt; 50, "🚨", "⚠️")))),
    _xlpm.dsl_risk_m5, IF(_xlpm.dsl_iqr_m5 &lt; 20, "✅",
                   IF(AND(_xlpm.dsl_iqr_m5 &gt;= 20, _xlpm.dsl_iqr_m5 &lt; 30),
                       IF(_xlpm.dsl_p95_m5 &lt; _xlpm.t_m5, "🟡", "🔴"),
                       IF(AND(_xlpm.dsl_iqr_m5 &gt;= 30, _xlpm.dsl_iqr_m5 &lt;= 50), "🔴",
                           IF(_xlpm.dsl_iqr_m5 &gt; 50, "🚨", "⚠️")))),
    _xlpm.norm_risk_m5, IF(_xlpm.norm_iqr_m5 &lt; 20, "✅",
                    IF(AND(_xlpm.norm_iqr_m5 &gt;= 20, _xlpm.norm_iqr_m5 &lt; 30),
                        IF(_xlpm.norm_p95_m5 &lt; _xlpm.t_m5, "🟡", "🔴"),
                        IF(AND(_xlpm.norm_iqr_m5 &gt;= 30, _xlpm.norm_iqr_m5 &lt;= 50), "🔴",
                            IF(_xlpm.norm_iqr_m5 &gt; 50, "🚨", "⚠️")))),
    _xlpm.sym_eligible, AND(_xlpm.sym_risk_m3 &lt;&gt; "🔴", _xlpm.sym_risk_m3 &lt;&gt; "🚨",
                     _xlpm.sym_risk_m5 &lt;&gt; "🔴", _xlpm.sym_risk_m5 &lt;&gt; "🚨"),
    _xlpm.dsl_eligible, AND(_xlpm.dsl_risk_m3 &lt;&gt; "🔴", _xlpm.dsl_risk_m3 &lt;&gt; "🚨",
                     _xlpm.dsl_risk_m5 &lt;&gt; "🔴", _xlpm.dsl_risk_m5 &lt;&gt; "🚨"),
    _xlpm.norm_eligible, AND(_xlpm.norm_risk_m3 &lt;&gt; "🔴", _xlpm.norm_risk_m3 &lt;&gt; "🚨",
                      _xlpm.norm_risk_m5 &lt;&gt; "🔴", _xlpm.norm_risk_m5 &lt;&gt; "🚨"),
    _xlpm.min_eligible, MIN(
        IF(_xlpm.sym_eligible, _xlpm.sym_mean, 9999),
        IF(_xlpm.dsl_eligible, _xlpm.dsl_mean, 9999),
        IF(_xlpm.norm_eligible, _xlpm.norm_mean, 9999)
    ),
    _xlpm.tie_count, (_xlpm.sym_eligible * (_xlpm.sym_mean = _xlpm.min_eligible)) +
               (_xlpm.dsl_eligible * (_xlpm.dsl_mean = _xlpm.min_eligible)) +
               (_xlpm.norm_eligible * (_xlpm.norm_mean = _xlpm.min_eligible)),
    _xlpm.second_best, MIN(
        IF(_xlpm.sym_eligible * (_xlpm.sym_mean &gt; _xlpm.min_eligible), _xlpm.sym_mean, 9999),
        IF(_xlpm.dsl_eligible * (_xlpm.dsl_mean &gt; _xlpm.min_eligible), _xlpm.dsl_mean, 9999),
        IF(_xlpm.norm_eligible * (_xlpm.norm_mean &gt; _xlpm.min_eligible), _xlpm.norm_mean, 9999)
    ),
    _xlpm.diff, _xlpm.second_best - _xlpm.min_eligible,
    _xlpm.sym_risk_combined, IF(OR(_xlpm.sym_risk_m3 = "🔴", _xlpm.sym_risk_m3 = "🚨",
                            _xlpm.sym_risk_m5 = "🔴", _xlpm.sym_risk_m5 = "🚨"), "🔴",
                         IF(OR(_xlpm.sym_risk_m3 = "🟡", _xlpm.sym_risk_m5 = "🟡"), "🟡", "✅")),
    _xlpm.dsl_risk_combined, IF(OR(_xlpm.dsl_risk_m3 = "🔴", _xlpm.dsl_risk_m3 = "🚨",
                            _xlpm.dsl_risk_m5 = "🔴", _xlpm.dsl_risk_m5 = "🚨"), "🔴",
                         IF(OR(_xlpm.dsl_risk_m3 = "🟡", _xlpm.dsl_risk_m5 = "🟡"), "🟡", "✅")),
    _xlpm.norm_risk_combined, IF(OR(_xlpm.norm_risk_m3 = "🔴", _xlpm.norm_risk_m3 = "🚨",
                             _xlpm.norm_risk_m5 = "🔴", _xlpm.norm_risk_m5 = "🚨"), "🔴",
                          IF(OR(_xlpm.norm_risk_m3 = "🟡", _xlpm.norm_risk_m5 = "🟡"), "🟡", "✅")),
    _xlpm.winner_text, IF(_xlpm.sym_eligible * (_xlpm.sym_mean = _xlpm.min_eligible),
                    "Symbolic" &amp; IF(_xlpm.sym_risk_combined = "🟡", "⚠️", ""),
                   IF(_xlpm.dsl_eligible * (_xlpm.dsl_mean = _xlpm.min_eligible),
                    "DSL/JSON" &amp; IF(_xlpm.dsl_risk_combined = "🟡", "⚠️", ""),
                   IF(_xlpm.norm_eligible * (_xlpm.norm_mean = _xlpm.min_eligible),
                    "Normal" &amp; IF(_xlpm.norm_risk_combined = "🟡", "⚠️", ""), ""))),
    IF(_xlpm.min_eligible = 9999,
        "⚠️ No Eligible Formats",
        IF(_xlpm.tie_count &gt; 1,
            "⚖️ Statistical Tie†",
            IF(_xlpm.diff &lt; _xlpm.threshold,
                "⚖️ Statistical Tie†",
                "🏆 " &amp; _xlpm.winner_text
            )
        )
    )
)</f>
        <v>⚖️ Statistical Tie†</v>
      </c>
      <c r="T39" t="s">
        <v>678</v>
      </c>
      <c r="U39" t="str">
        <f>_xlfn.LET(
   _xlpm.symbolic, Z22,
   _xlpm.dsl_json, AA22,
   _xlpm.normal, AB22,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DSL/JSON (0.48s)</v>
      </c>
      <c r="V39" t="str">
        <f>_xlfn.LET(
   _xlpm.symbolic, AJ22,
   _xlpm.dsl_json, AK22,
   _xlpm.normal, AL22,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Normal (0.35s)</v>
      </c>
      <c r="W39" t="str">
        <f>_xlfn.LET(
   _xlpm.symbolic_eligible, $Y$32,
   _xlpm.dsl_eligible, $Z$32,
   _xlpm.normal_eligible, $AA$32,
   _xlpm.symbolic_warning, $Y$36,
   _xlpm.dsl_warning, $Z$36,
   _xlpm.normal_warning, $AA$36,
   _xlpm.symbolic_w1, $P$34,
   _xlpm.symbolic_w2, $P$34,
   _xlpm.symbolic_mean, ($P$34*Z22 + $P$34*AJ22)/($P$34*2),
   _xlpm.dsl_w1, $P$34,
   _xlpm.dsl_w2, $P$34,
   _xlpm.dsl_mean, ($P$34*AA22 + $P$34*AK22)/($P$34*2),
   _xlpm.normal_w1, $P$34,
   _xlpm.normal_w2, $P$34,
   _xlpm.normal_mean, ($P$34*AB22 + $P$34*AL22)/($P$34*2),
   _xlpm.eligible_means, IF(_xlpm.symbolic_eligible, _xlpm.symbolic_mean, 999) &amp; "," &amp;
                    IF(_xlpm.dsl_eligible, _xlpm.dsl_mean, 999) &amp; "," &amp;
                    IF(_xlpm.normal_eligible, _xlpm.normal_mean, 999),
   _xlpm.fastest, MIN(IF(_xlpm.symbolic_eligible, _xlpm.symbolic_mean, 999),
                IF(_xlpm.dsl_eligible, _xlpm.dsl_mean, 999),
                IF(_xlpm.normal_eligible, _xlpm.normal_mean, 999)),
   _xlpm.tie_count, (IF(_xlpm.symbolic_eligible, IF(_xlpm.symbolic_mean=_xlpm.fastest,1,0),0)) +
              (IF(_xlpm.dsl_eligible, IF(_xlpm.dsl_mean=_xlpm.fastest,1,0),0)) +
              (IF(_xlpm.normal_eligible, IF(_xlpm.normal_mean=_xlpm.fastest,1,0),0)),
   _xlpm.value_text, IF(AND(_xlpm.symbolic_eligible, _xlpm.symbolic_mean=_xlpm.fastest), TEXT(_xlpm.symbolic_mean, "0.00"),
                 IF(AND(_xlpm.dsl_eligible, _xlpm.dsl_mean=_xlpm.fastest), TEXT(_xlpm.dsl_mean, "0.00"),
                 IF(AND(_xlpm.normal_eligible, _xlpm.normal_mean=_xlpm.fastest), TEXT(_xlpm.normal_mean, "0.00"), ""))),
   _xlpm.winner_text, IF(_xlpm.tie_count=0, "⚠️ No Eligible Formats",
                 IF(_xlpm.tie_count&gt;1, "🤝 Tie (" &amp; TEXT(_xlpm.fastest, "0.00") &amp; "s)",
                    IF(AND(_xlpm.symbolic_eligible, _xlpm.symbolic_mean=_xlpm.fastest),
                       "🏆 Symbolic" &amp; _xlpm.symbolic_warning &amp; " (" &amp; _xlpm.value_text &amp; "s)",
                       IF(AND(_xlpm.dsl_eligible, _xlpm.dsl_mean=_xlpm.fastest),
                          "🏆 DSL/JSON" &amp; _xlpm.dsl_warning &amp; " (" &amp; _xlpm.value_text &amp; "s)",
                          IF(AND(_xlpm.normal_eligible, _xlpm.normal_mean=_xlpm.fastest),
                             "🏆 Normal" &amp; _xlpm.normal_warning &amp; " (" &amp; _xlpm.value_text &amp; "s)",
                             "Error"))))),
   _xlpm.winner_text
)</f>
        <v>🏆 DSL/JSON (0.44s)</v>
      </c>
      <c r="Y39" s="21" t="s">
        <v>668</v>
      </c>
      <c r="Z39" s="21" t="s">
        <v>669</v>
      </c>
      <c r="AA39" s="21" t="s">
        <v>670</v>
      </c>
      <c r="AE39" s="7"/>
      <c r="AF39" s="7"/>
      <c r="AG39" s="7"/>
      <c r="AI39" t="s">
        <v>691</v>
      </c>
      <c r="AJ39">
        <f>MIN(
   IF(AND(Y32=TRUE, Y40="✅ ELIGIBLE"), Y44, 9999),
   IF(AND(Z32=TRUE, Z40="✅ ELIGIBLE"), Z44, 9999),
   IF(AND(AA32=TRUE, AA40="✅ ELIGIBLE"), AA44, 9999),
   IF(
      MIN(
         IF(AND(Y32=TRUE, Y40="✅ ELIGIBLE"), Y44, 9999),
         IF(AND(Z32=TRUE, Z40="✅ ELIGIBLE"), Z44, 9999),
         IF(AND(AA32=TRUE, AA40="✅ ELIGIBLE"), AA44, 9999)
      ) =
      IF(AND(Y32=TRUE, Y40="✅ ELIGIBLE"), Y44, 9999), 9999,
      IF(AND(Y32=TRUE, Y40="✅ ELIGIBLE"), Y44, 9999)
   ),
   IF(
      MIN(
         IF(AND(Y32=TRUE, Y40="✅ ELIGIBLE"), Y44, 9999),
         IF(AND(Z32=TRUE, Z40="✅ ELIGIBLE"), Z44, 9999),
         IF(AND(AA32=TRUE, AA40="✅ ELIGIBLE"), AA44, 9999)
      ) =
      IF(AND(Z32=TRUE, Z40="✅ ELIGIBLE"), Z44, 9999), 9999,
      IF(AND(Z32=TRUE, Z40="✅ ELIGIBLE"), Z44, 9999)
   ),
   IF(
      MIN(
         IF(AND(Y32=TRUE, Y40="✅ ELIGIBLE"), Y44, 9999),
         IF(AND(Z32=TRUE, Z40="✅ ELIGIBLE"), Z44, 9999),
         IF(AND(AA32=TRUE, AA40="✅ ELIGIBLE"), AA44, 9999)
      ) =
      IF(AND(AA32=TRUE, AA40="✅ ELIGIBLE"), AA44, 9999), 9999,
      IF(AND(AA32=TRUE, AA40="✅ ELIGIBLE"), AA44, 9999)
   )
)</f>
        <v>1.38</v>
      </c>
    </row>
    <row r="40" spans="1:36" x14ac:dyDescent="0.25">
      <c r="A40" t="s">
        <v>78</v>
      </c>
      <c r="B40">
        <v>9</v>
      </c>
      <c r="C40" t="s">
        <v>13</v>
      </c>
      <c r="D40" t="s">
        <v>407</v>
      </c>
      <c r="E40" t="s">
        <v>408</v>
      </c>
      <c r="F40" s="1">
        <v>1.3888888888888888E-5</v>
      </c>
      <c r="G40" t="s">
        <v>16</v>
      </c>
      <c r="H40">
        <v>4</v>
      </c>
      <c r="I40">
        <v>74</v>
      </c>
      <c r="J40">
        <v>78</v>
      </c>
      <c r="L40" t="s">
        <v>17</v>
      </c>
      <c r="M40" s="3">
        <f t="shared" si="0"/>
        <v>1.2369998032227159</v>
      </c>
      <c r="T40" t="s">
        <v>679</v>
      </c>
      <c r="U40" t="str">
        <f>_xlfn.LET(
   _xlpm.symbolic, Z23,
   _xlpm.dsl_json, AA23,
   _xlpm.normal, AB23,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DSL/JSON (0.11s)</v>
      </c>
      <c r="V40" t="str">
        <f>_xlfn.LET(
   _xlpm.symbolic, AJ23,
   _xlpm.dsl_json, AK23,
   _xlpm.normal, AL23,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Normal (0.08s)</v>
      </c>
      <c r="W40" t="str">
        <f>_xlfn.LET(
   _xlpm.symbolic_eligible, $Y$32,
   _xlpm.dsl_eligible, $Z$32,
   _xlpm.normal_eligible, $AA$32,
   _xlpm.symbolic_warning, $Y$36,
   _xlpm.dsl_warning, $Z$36,
   _xlpm.normal_warning, $AA$36,
   _xlpm.symbolic_w1, $P$34,
   _xlpm.symbolic_w2, $P$34,
   _xlpm.symbolic_mean, ($P$34*Z23 + $P$34*AJ23)/($P$34*2),
   _xlpm.dsl_w1, $P$34,
   _xlpm.dsl_w2, $P$34,
   _xlpm.dsl_mean, ($P$34*AA23 + $P$34*AK23)/($P$34*2),
   _xlpm.normal_w1, $P$34,
   _xlpm.normal_w2, $P$34,
   _xlpm.normal_mean, ($P$34*AB23 + $P$34*AL23)/($P$34*2),
   _xlpm.eligible_means, IF(_xlpm.symbolic_eligible, _xlpm.symbolic_mean, 999) &amp; "," &amp;
                    IF(_xlpm.dsl_eligible, _xlpm.dsl_mean, 999) &amp; "," &amp;
                    IF(_xlpm.normal_eligible, _xlpm.normal_mean, 999),
   _xlpm.fastest, MIN(IF(_xlpm.symbolic_eligible, _xlpm.symbolic_mean, 999),
                IF(_xlpm.dsl_eligible, _xlpm.dsl_mean, 999),
                IF(_xlpm.normal_eligible, _xlpm.normal_mean, 999)),
   _xlpm.tie_count, (IF(_xlpm.symbolic_eligible, IF(_xlpm.symbolic_mean=_xlpm.fastest,1,0),0)) +
              (IF(_xlpm.dsl_eligible, IF(_xlpm.dsl_mean=_xlpm.fastest,1,0),0)) +
              (IF(_xlpm.normal_eligible, IF(_xlpm.normal_mean=_xlpm.fastest,1,0),0)),
   _xlpm.value_text, IF(AND(_xlpm.symbolic_eligible, _xlpm.symbolic_mean=_xlpm.fastest), TEXT(_xlpm.symbolic_mean, "0.00"),
                 IF(AND(_xlpm.dsl_eligible, _xlpm.dsl_mean=_xlpm.fastest), TEXT(_xlpm.dsl_mean, "0.00"),
                 IF(AND(_xlpm.normal_eligible, _xlpm.normal_mean=_xlpm.fastest), TEXT(_xlpm.normal_mean, "0.00"), ""))),
   _xlpm.winner_text, IF(_xlpm.tie_count=0, "⚠️ No Eligible Formats",
                 IF(_xlpm.tie_count&gt;1, "🤝 Tie (" &amp; TEXT(_xlpm.fastest, "0.00") &amp; "s)",
                    IF(AND(_xlpm.symbolic_eligible, _xlpm.symbolic_mean=_xlpm.fastest),
                       "🏆 Symbolic" &amp; _xlpm.symbolic_warning &amp; " (" &amp; _xlpm.value_text &amp; "s)",
                       IF(AND(_xlpm.dsl_eligible, _xlpm.dsl_mean=_xlpm.fastest),
                          "🏆 DSL/JSON" &amp; _xlpm.dsl_warning &amp; " (" &amp; _xlpm.value_text &amp; "s)",
                          IF(AND(_xlpm.normal_eligible, _xlpm.normal_mean=_xlpm.fastest),
                             "🏆 Normal" &amp; _xlpm.normal_warning &amp; " (" &amp; _xlpm.value_text &amp; "s)",
                             "Error"))))),
   _xlpm.winner_text
)</f>
        <v>🏆 Normal (0.10s)</v>
      </c>
      <c r="Y40" t="str">
        <f>IF(OR(Z21="🔴 SEVERE", Z21="🚨 CRITICAL", AJ21="🔴 SEVERE", AJ21="🚨 CRITICAL"),
    "❌ DISQUALIFIED", "✅ ELIGIBLE")</f>
        <v>✅ ELIGIBLE</v>
      </c>
      <c r="Z40" t="str">
        <f>IF(OR(AA21="🔴 SEVERE", AA21="🚨 CRITICAL", AK21="🔴 SEVERE", AK21="🚨 CRITICAL"),
    "❌ DISQUALIFIED", "✅ ELIGIBLE")</f>
        <v>✅ ELIGIBLE</v>
      </c>
      <c r="AA40" t="str">
        <f>IF(OR(AB21="🔴 SEVERE", AB21="🚨 CRITICAL", AL21="🔴 SEVERE", AL21="🚨 CRITICAL"),
    "❌ DISQUALIFIED", "✅ ELIGIBLE")</f>
        <v>✅ ELIGIBLE</v>
      </c>
      <c r="AE40" s="4"/>
      <c r="AF40" s="4"/>
      <c r="AG40" s="4"/>
      <c r="AI40" t="s">
        <v>692</v>
      </c>
      <c r="AJ40">
        <f>AJ39 - AJ37</f>
        <v>0</v>
      </c>
    </row>
    <row r="41" spans="1:36" x14ac:dyDescent="0.25">
      <c r="A41" t="s">
        <v>78</v>
      </c>
      <c r="B41">
        <v>10</v>
      </c>
      <c r="C41" t="s">
        <v>13</v>
      </c>
      <c r="D41" t="s">
        <v>409</v>
      </c>
      <c r="E41" t="s">
        <v>410</v>
      </c>
      <c r="F41" s="1">
        <v>1.6203703703703704E-5</v>
      </c>
      <c r="G41" t="s">
        <v>16</v>
      </c>
      <c r="H41">
        <v>4</v>
      </c>
      <c r="I41">
        <v>74</v>
      </c>
      <c r="J41">
        <v>78</v>
      </c>
      <c r="L41" t="s">
        <v>17</v>
      </c>
      <c r="M41" s="3">
        <f t="shared" si="0"/>
        <v>1.4380001462996006</v>
      </c>
      <c r="T41" t="s">
        <v>680</v>
      </c>
      <c r="U41" t="str">
        <f>_xlfn.LET(
   _xlpm.symbolic_mean, Z9,
   _xlpm.dsl_mean, AA9,
   _xlpm.normal_mean, AB9,
   _xlpm.symbolic_risk, Z21,
   _xlpm.dsl_risk, AA21,
   _xlpm.normal_risk, AB21,
   _xlpm.fastest_mean, MIN(_xlpm.symbolic_mean, _xlpm.dsl_mean, _xlpm.normal_mean),
   _xlpm.tie_count, (_xlpm.symbolic_mean=_xlpm.fastest_mean) + (_xlpm.dsl_mean=_xlpm.fastest_mean) + (_xlpm.normal_mean=_xlpm.fastest_mean),
   _xlpm.winner_text, IF(_xlpm.tie_count&gt;1, "🤝 Tie",
                 IF(_xlpm.symbolic_mean=_xlpm.fastest_mean,
                    "🏆 Symbolic" &amp; IF(_xlpm.symbolic_risk="🟡 MODERATE", "🟡",
                                      IF(_xlpm.symbolic_risk="🔴 SEVERE", "🔴",
                                      IF(_xlpm.symbolic_risk="🚨 CRITICAL", "🚨", ""))),
                    IF(_xlpm.dsl_mean=_xlpm.fastest_mean,
                       "🏆 DSL/JSON" &amp; IF(_xlpm.dsl_risk="🟡 MODERATE", "🟡",
                                         IF(_xlpm.dsl_risk="🔴 SEVERE", "🔴",
                                         IF(_xlpm.dsl_risk="🚨 CRITICAL", "🚨", ""))),
                       IF(_xlpm.normal_mean=_xlpm.fastest_mean,
                          "🏆 Normal" &amp; IF(_xlpm.normal_risk="🟡 MODERATE", "🟡",
                                          IF(_xlpm.normal_risk="🔴 SEVERE", "🔴",
                                          IF(_xlpm.normal_risk="🚨 CRITICAL", "🚨", ""))),
                          "Error")))),
   _xlpm.winner_text
)</f>
        <v>🏆 Normal</v>
      </c>
      <c r="V41" t="str">
        <f>_xlfn.LET(
   _xlpm.symbolic_mean, AJ9,
   _xlpm.dsl_mean, AK9,
   _xlpm.normal_mean, AL9,
   _xlpm.symbolic_risk, AJ21,
   _xlpm.dsl_risk, AK21,
   _xlpm.normal_risk, AL21,
   _xlpm.fastest_mean, MIN(_xlpm.symbolic_mean, _xlpm.dsl_mean, _xlpm.normal_mean),
   _xlpm.tie_count, (_xlpm.symbolic_mean=_xlpm.fastest_mean) + (_xlpm.dsl_mean=_xlpm.fastest_mean) + (_xlpm.normal_mean=_xlpm.fastest_mean),
   _xlpm.winner_text, IF(_xlpm.tie_count&gt;1, "🤝 Tie",
                 IF(_xlpm.symbolic_mean=_xlpm.fastest_mean,
                    "🏆 Symbolic" &amp; IF(_xlpm.symbolic_risk="🟡 MODERATE", "🟡",
                                      IF(_xlpm.symbolic_risk="🔴 SEVERE", "🔴",
                                      IF(_xlpm.symbolic_risk="🚨 CRITICAL", "🚨", ""))),
                    IF(_xlpm.dsl_mean=_xlpm.fastest_mean,
                       "🏆 DSL/JSON" &amp; IF(_xlpm.dsl_risk="🟡 MODERATE", "🟡",
                                         IF(_xlpm.dsl_risk="🔴 SEVERE", "🔴",
                                         IF(_xlpm.dsl_risk="🚨 CRITICAL", "🚨", ""))),
                       IF(_xlpm.normal_mean=_xlpm.fastest_mean,
                          "🏆 Normal" &amp; IF(_xlpm.normal_risk="🟡 MODERATE", "🟡",
                                          IF(_xlpm.normal_risk="🔴 SEVERE", "🔴",
                                          IF(_xlpm.normal_risk="🚨 CRITICAL", "🚨", ""))),
                          "Error")))),
   _xlpm.winner_text
)</f>
        <v>🏆 DSL/JSON</v>
      </c>
      <c r="W41" t="str">
        <f>_xlfn.LET(
   _xlpm.symbolic_eligible, $Y$32,
   _xlpm.dsl_eligible, $Z$32,
   _xlpm.normal_eligible, $AA$32,
   _xlpm.symbolic_warning, $Y$36,
   _xlpm.dsl_warning, $Z$36,
   _xlpm.normal_warning, $AA$36,
   _xlpm.eligible_count, _xlpm.symbolic_eligible + _xlpm.dsl_eligible + _xlpm.normal_eligible,
   _xlpm.symbolic_mean, ($P$34*Z9 + $P$34*AJ9)/($P$34*2),
   _xlpm.dsl_mean, ($P$34*AA9 + $P$34*AK9)/($P$34*2),
   _xlpm.normal_mean, ($P$34*AB9 + $P$34*AL9)/($P$34*2),
   _xlpm.fastest, MIN(IF(_xlpm.symbolic_eligible, _xlpm.symbolic_mean, 9999),
                IF(_xlpm.dsl_eligible, _xlpm.dsl_mean, 9999),
                IF(_xlpm.normal_eligible, _xlpm.normal_mean, 9999)),
   IF(_xlpm.eligible_count=0, "⚠️ No Eligible Formats",
      IF(_xlpm.eligible_count=1,
         IF(_xlpm.symbolic_eligible, "🏆 Symbolic" &amp; _xlpm.symbolic_warning,
            IF(_xlpm.dsl_eligible, "🏆 DSL/JSON" &amp; _xlpm.dsl_warning,
               "🏆 Normal" &amp; _xlpm.normal_warning)),
         IF(AND(_xlpm.symbolic_eligible, _xlpm.symbolic_mean=_xlpm.fastest), "🏆 Symbolic" &amp; _xlpm.symbolic_warning,
            IF(AND(_xlpm.dsl_eligible, _xlpm.dsl_mean=_xlpm.fastest), "🏆 DSL/JSON" &amp; _xlpm.dsl_warning,
               "🏆 Normal" &amp; _xlpm.normal_warning)))
   )
)</f>
        <v>🏆 DSL/JSON</v>
      </c>
      <c r="Z41" s="7"/>
      <c r="AE41" s="4"/>
      <c r="AF41" s="4"/>
      <c r="AG41" s="4"/>
      <c r="AI41" t="s">
        <v>693</v>
      </c>
      <c r="AJ41" t="str">
        <f>_xlfn.LET(
   _xlpm.means, Z9:AB9,
   _xlpm.min_mean, MIN(_xlpm.means),
   _xlpm.tie_count, (Z9=_xlpm.min_mean)+(AA9=_xlpm.min_mean)+(AB9=_xlpm.min_mean),
   _xlpm.winner, IF(Z9=_xlpm.min_mean, "Symbolic", IF(AA9=_xlpm.min_mean, "DSL/JSON", "Normal")),
   _xlpm.risk, IF(Z9=_xlpm.min_mean, Z24, IF(AA9=_xlpm.min_mean, AA24, AB24)),
   IF(_xlpm.tie_count&gt;1, "🤝 Tie", _xlpm.winner)
)</f>
        <v>Normal</v>
      </c>
    </row>
    <row r="42" spans="1:36" x14ac:dyDescent="0.25">
      <c r="A42" t="s">
        <v>78</v>
      </c>
      <c r="B42">
        <v>1</v>
      </c>
      <c r="C42" t="s">
        <v>36</v>
      </c>
      <c r="D42" t="s">
        <v>411</v>
      </c>
      <c r="E42" t="s">
        <v>412</v>
      </c>
      <c r="F42" s="1">
        <v>1.8518518518518518E-5</v>
      </c>
      <c r="G42" t="s">
        <v>16</v>
      </c>
      <c r="H42">
        <v>4</v>
      </c>
      <c r="I42">
        <v>150</v>
      </c>
      <c r="J42">
        <v>154</v>
      </c>
      <c r="L42" t="s">
        <v>17</v>
      </c>
      <c r="M42" s="3">
        <f t="shared" si="0"/>
        <v>1.6130004543811083</v>
      </c>
      <c r="Y42" s="24" t="s">
        <v>705</v>
      </c>
      <c r="Z42" s="24"/>
      <c r="AA42" s="24"/>
      <c r="AC42" s="24" t="s">
        <v>706</v>
      </c>
      <c r="AD42" s="24"/>
      <c r="AE42" s="24"/>
      <c r="AI42" t="s">
        <v>694</v>
      </c>
      <c r="AJ42" t="str">
        <f>_xlfn.LET(
   _xlpm.means, AJ9:AL9,
   _xlpm.min_mean, MIN(_xlpm.means),
   _xlpm.tie_count, (AJ9=_xlpm.min_mean)+(AK9=_xlpm.min_mean)+(AL9=_xlpm.min_mean),
   _xlpm.winner, IF(AJ9=_xlpm.min_mean, "Symbolic", IF(AK9=_xlpm.min_mean, "DSL/JSON", "Normal")),
   _xlpm.risk, IF(AJ9=_xlpm.min_mean, AJ24, IF(AK9=_xlpm.min_mean, AK24, AL24)),
   IF(_xlpm.tie_count&gt;1, "🤝 Tie", _xlpm.winner)
)</f>
        <v>DSL/JSON</v>
      </c>
    </row>
    <row r="43" spans="1:36" x14ac:dyDescent="0.25">
      <c r="A43" t="s">
        <v>78</v>
      </c>
      <c r="B43">
        <v>2</v>
      </c>
      <c r="C43" t="s">
        <v>36</v>
      </c>
      <c r="D43" t="s">
        <v>413</v>
      </c>
      <c r="E43" t="s">
        <v>414</v>
      </c>
      <c r="F43" s="1">
        <v>1.6203703703703704E-5</v>
      </c>
      <c r="G43" t="s">
        <v>16</v>
      </c>
      <c r="H43">
        <v>4</v>
      </c>
      <c r="I43">
        <v>150</v>
      </c>
      <c r="J43">
        <v>154</v>
      </c>
      <c r="L43" t="s">
        <v>17</v>
      </c>
      <c r="M43" s="3">
        <f t="shared" si="0"/>
        <v>1.3970000669360161</v>
      </c>
      <c r="Y43" s="21" t="s">
        <v>668</v>
      </c>
      <c r="Z43" s="21" t="s">
        <v>669</v>
      </c>
      <c r="AA43" s="21" t="s">
        <v>670</v>
      </c>
      <c r="AC43" s="21" t="s">
        <v>668</v>
      </c>
      <c r="AD43" s="21" t="s">
        <v>669</v>
      </c>
      <c r="AE43" s="21" t="s">
        <v>670</v>
      </c>
      <c r="AI43" t="s">
        <v>695</v>
      </c>
      <c r="AJ43" t="b">
        <f>AND(Y32=TRUE, Y40="✅ ELIGIBLE")</f>
        <v>1</v>
      </c>
    </row>
    <row r="44" spans="1:36" x14ac:dyDescent="0.25">
      <c r="A44" t="s">
        <v>78</v>
      </c>
      <c r="B44">
        <v>3</v>
      </c>
      <c r="C44" t="s">
        <v>36</v>
      </c>
      <c r="D44" t="s">
        <v>415</v>
      </c>
      <c r="E44" t="s">
        <v>416</v>
      </c>
      <c r="F44" s="1">
        <v>1.9675925925925925E-5</v>
      </c>
      <c r="G44" t="s">
        <v>16</v>
      </c>
      <c r="H44">
        <v>4</v>
      </c>
      <c r="I44">
        <v>150</v>
      </c>
      <c r="J44">
        <v>154</v>
      </c>
      <c r="L44" t="s">
        <v>17</v>
      </c>
      <c r="M44" s="3">
        <f t="shared" si="0"/>
        <v>1.7159997951239347</v>
      </c>
      <c r="Y44">
        <f>ROUND(($P$34*Z9+AJ9*$P$34)/($P$34*2),2)</f>
        <v>1.44</v>
      </c>
      <c r="Z44">
        <f t="shared" ref="Z44:AA44" si="27">ROUND(($P$34*AA9+AK9*$P$34)/($P$34*2),2)</f>
        <v>1.38</v>
      </c>
      <c r="AA44">
        <f t="shared" si="27"/>
        <v>1.41</v>
      </c>
      <c r="AC44" t="str">
        <f>_xlfn.LET(
    _xlpm.score, ROUND(1 - (ABS(Z9 - AJ9) / ((Z9 + AJ9) / 2)),2),
    _xlpm.clipped, MAX(0, MIN(1, _xlpm.score)),
    _xlpm.rating, IF(_xlpm.clipped &gt;= 0.95, "⭐",
              IF(_xlpm.clipped &gt;= 0.85, "✅",
                IF(_xlpm.clipped &gt;= 0.7, "⚠️", "❌"))),
    _xlpm.clipped &amp; " (" &amp; _xlpm.rating &amp; ")"
)</f>
        <v>0.92 (✅)</v>
      </c>
      <c r="AD44" t="str">
        <f>_xlfn.LET(
    _xlpm.score, ROUND(1 - (ABS(AA9 - AK9) / ((AA9 + AK9) / 2)),2),
    _xlpm.clipped, MAX(0, MIN(1, _xlpm.score)),
    _xlpm.rating, IF(_xlpm.clipped &gt;= 0.95, "⭐",
              IF(_xlpm.clipped &gt;= 0.85, "✅",
                IF(_xlpm.clipped &gt;= 0.7, "⚠️", "❌"))),
    _xlpm.clipped &amp; " (" &amp; _xlpm.rating &amp; ")"
)</f>
        <v>0.88 (✅)</v>
      </c>
      <c r="AE44" t="str">
        <f>_xlfn.LET(
    _xlpm.score, ROUND(1 - (ABS(AB9 - AL9) / ((AB9 + AL9) / 2)),2),
    _xlpm.clipped, MAX(0, MIN(1, _xlpm.score)),
    _xlpm.rating, IF(_xlpm.clipped &gt;= 0.95, "⭐",
              IF(_xlpm.clipped &gt;= 0.85, "✅",
                IF(_xlpm.clipped &gt;= 0.7, "⚠️", "❌"))),
    _xlpm.clipped &amp; " (" &amp; _xlpm.rating &amp; ")"
)</f>
        <v>0.95 (⭐)</v>
      </c>
      <c r="AI44" t="s">
        <v>696</v>
      </c>
      <c r="AJ44" t="b">
        <f>AND(Z32=TRUE, Z40="✅ ELIGIBLE")</f>
        <v>1</v>
      </c>
    </row>
    <row r="45" spans="1:36" x14ac:dyDescent="0.25">
      <c r="A45" t="s">
        <v>78</v>
      </c>
      <c r="B45">
        <v>4</v>
      </c>
      <c r="C45" t="s">
        <v>36</v>
      </c>
      <c r="D45" t="s">
        <v>417</v>
      </c>
      <c r="E45" t="s">
        <v>418</v>
      </c>
      <c r="F45" s="1">
        <v>1.8518518518518518E-5</v>
      </c>
      <c r="G45" t="s">
        <v>16</v>
      </c>
      <c r="H45">
        <v>4</v>
      </c>
      <c r="I45">
        <v>150</v>
      </c>
      <c r="J45">
        <v>154</v>
      </c>
      <c r="L45" t="s">
        <v>17</v>
      </c>
      <c r="M45" s="3">
        <f t="shared" si="0"/>
        <v>1.6320005524903536</v>
      </c>
      <c r="AI45" t="s">
        <v>697</v>
      </c>
      <c r="AJ45" t="b">
        <f>AND(AA32=TRUE, AA40="✅ ELIGIBLE")</f>
        <v>1</v>
      </c>
    </row>
    <row r="46" spans="1:36" x14ac:dyDescent="0.25">
      <c r="A46" t="s">
        <v>78</v>
      </c>
      <c r="B46">
        <v>5</v>
      </c>
      <c r="C46" t="s">
        <v>36</v>
      </c>
      <c r="D46" t="s">
        <v>419</v>
      </c>
      <c r="E46" t="s">
        <v>420</v>
      </c>
      <c r="F46" s="1">
        <v>1.7361111111111111E-5</v>
      </c>
      <c r="G46" t="s">
        <v>16</v>
      </c>
      <c r="H46">
        <v>4</v>
      </c>
      <c r="I46">
        <v>150</v>
      </c>
      <c r="J46">
        <v>154</v>
      </c>
      <c r="L46" t="s">
        <v>17</v>
      </c>
      <c r="M46" s="3">
        <f t="shared" si="0"/>
        <v>1.4799997676163912</v>
      </c>
      <c r="AI46" t="s">
        <v>698</v>
      </c>
      <c r="AJ46" t="str">
        <f>IF(AND(AJ43=TRUE, OR(Z21="🟡 MODERATE", AJ21="🟡 MODERATE")), "⚠️", "")</f>
        <v/>
      </c>
    </row>
    <row r="47" spans="1:36" x14ac:dyDescent="0.25">
      <c r="A47" t="s">
        <v>78</v>
      </c>
      <c r="B47">
        <v>6</v>
      </c>
      <c r="C47" t="s">
        <v>36</v>
      </c>
      <c r="D47" t="s">
        <v>421</v>
      </c>
      <c r="E47" t="s">
        <v>422</v>
      </c>
      <c r="F47" s="1">
        <v>1.8518518518518518E-5</v>
      </c>
      <c r="G47" t="s">
        <v>16</v>
      </c>
      <c r="H47">
        <v>4</v>
      </c>
      <c r="I47">
        <v>150</v>
      </c>
      <c r="J47">
        <v>154</v>
      </c>
      <c r="L47" t="s">
        <v>17</v>
      </c>
      <c r="M47" s="3">
        <f t="shared" si="0"/>
        <v>1.5630000969395041</v>
      </c>
      <c r="AI47" t="s">
        <v>699</v>
      </c>
      <c r="AJ47" t="str">
        <f>IF(AND(AJ44=TRUE, OR(AA21="🟡 MODERATE", AK21="🟡 MODERATE")), "⚠️", "")</f>
        <v/>
      </c>
    </row>
    <row r="48" spans="1:36" x14ac:dyDescent="0.25">
      <c r="A48" t="s">
        <v>78</v>
      </c>
      <c r="B48">
        <v>7</v>
      </c>
      <c r="C48" t="s">
        <v>36</v>
      </c>
      <c r="D48" t="s">
        <v>423</v>
      </c>
      <c r="E48" t="s">
        <v>424</v>
      </c>
      <c r="F48" s="1">
        <v>1.5046296296296297E-5</v>
      </c>
      <c r="G48" t="s">
        <v>16</v>
      </c>
      <c r="H48">
        <v>4</v>
      </c>
      <c r="I48">
        <v>150</v>
      </c>
      <c r="J48">
        <v>154</v>
      </c>
      <c r="L48" t="s">
        <v>17</v>
      </c>
      <c r="M48" s="3">
        <f t="shared" si="0"/>
        <v>1.3340000063180923</v>
      </c>
      <c r="AI48" t="s">
        <v>700</v>
      </c>
      <c r="AJ48" t="str">
        <f>IF(AND(AJ45=TRUE, OR(AB21="🟡 MODERATE", AL21="🟡 MODERATE")), "⚠️", "")</f>
        <v/>
      </c>
    </row>
    <row r="49" spans="1:36" x14ac:dyDescent="0.25">
      <c r="A49" t="s">
        <v>78</v>
      </c>
      <c r="B49">
        <v>8</v>
      </c>
      <c r="C49" t="s">
        <v>36</v>
      </c>
      <c r="D49" t="s">
        <v>425</v>
      </c>
      <c r="E49" t="s">
        <v>426</v>
      </c>
      <c r="F49" s="1">
        <v>1.5046296296296297E-5</v>
      </c>
      <c r="G49" t="s">
        <v>16</v>
      </c>
      <c r="H49">
        <v>4</v>
      </c>
      <c r="I49">
        <v>150</v>
      </c>
      <c r="J49">
        <v>154</v>
      </c>
      <c r="L49" t="s">
        <v>17</v>
      </c>
      <c r="M49" s="3">
        <f t="shared" si="0"/>
        <v>1.3280002400279045</v>
      </c>
      <c r="AI49" t="s">
        <v>701</v>
      </c>
      <c r="AJ49" t="b" cm="1">
        <f t="array" ref="AJ49">AND(OR(AND(Z21="🔴 SEVERE", AJ21="🟡 MODERATE"),
        AND(Z21="🟡 MODERATE", AJ21="🔴 SEVERE")),
     Y44 = MIN(IF(Y40:AA40="✅ ELIGIBLE", Y44:AA44, 9999)))</f>
        <v>0</v>
      </c>
    </row>
    <row r="50" spans="1:36" x14ac:dyDescent="0.25">
      <c r="A50" t="s">
        <v>78</v>
      </c>
      <c r="B50">
        <v>9</v>
      </c>
      <c r="C50" t="s">
        <v>36</v>
      </c>
      <c r="D50" t="s">
        <v>427</v>
      </c>
      <c r="E50" t="s">
        <v>428</v>
      </c>
      <c r="F50" s="1">
        <v>1.3888888888888888E-5</v>
      </c>
      <c r="G50" t="s">
        <v>16</v>
      </c>
      <c r="H50">
        <v>4</v>
      </c>
      <c r="I50">
        <v>150</v>
      </c>
      <c r="J50">
        <v>154</v>
      </c>
      <c r="L50" t="s">
        <v>17</v>
      </c>
      <c r="M50" s="3">
        <f t="shared" si="0"/>
        <v>1.2379999738186598</v>
      </c>
      <c r="AI50" t="s">
        <v>702</v>
      </c>
      <c r="AJ50" t="b" cm="1">
        <f t="array" ref="AJ50">AND(OR(AND(AA21="🔴 SEVERE", AK21="🟡 MODERATE"),
        AND(AA21="🟡 MODERATE", AK21="🔴 SEVERE")),
     Z44 = MIN(IF(Y40:AA40="✅ ELIGIBLE", Y44:AA44, 9999)))</f>
        <v>0</v>
      </c>
    </row>
    <row r="51" spans="1:36" x14ac:dyDescent="0.25">
      <c r="A51" t="s">
        <v>78</v>
      </c>
      <c r="B51">
        <v>10</v>
      </c>
      <c r="C51" t="s">
        <v>36</v>
      </c>
      <c r="D51" t="s">
        <v>429</v>
      </c>
      <c r="E51" t="s">
        <v>430</v>
      </c>
      <c r="F51" s="1">
        <v>1.5046296296296297E-5</v>
      </c>
      <c r="G51" t="s">
        <v>16</v>
      </c>
      <c r="H51">
        <v>4</v>
      </c>
      <c r="I51">
        <v>150</v>
      </c>
      <c r="J51">
        <v>154</v>
      </c>
      <c r="L51" t="s">
        <v>17</v>
      </c>
      <c r="M51" s="3">
        <f t="shared" si="0"/>
        <v>1.2589997844770551</v>
      </c>
      <c r="AI51" t="s">
        <v>703</v>
      </c>
      <c r="AJ51" t="b" cm="1">
        <f t="array" ref="AJ51">AND(OR(AND(AB21="🔴 SEVERE", AL21="🟡 MODERATE"),
        AND(AB21="🟡 MODERATE", AL21="🔴 SEVERE")),
     AA44 = MIN(IF(Y40:AA40="✅ ELIGIBLE", Y44:AA44, 9999)))</f>
        <v>0</v>
      </c>
    </row>
    <row r="52" spans="1:36" x14ac:dyDescent="0.25">
      <c r="A52" t="s">
        <v>78</v>
      </c>
      <c r="B52">
        <v>1</v>
      </c>
      <c r="C52" t="s">
        <v>57</v>
      </c>
      <c r="D52" t="s">
        <v>431</v>
      </c>
      <c r="E52" t="s">
        <v>432</v>
      </c>
      <c r="F52" s="1">
        <v>2.199074074074074E-5</v>
      </c>
      <c r="G52" t="s">
        <v>16</v>
      </c>
      <c r="H52">
        <v>4</v>
      </c>
      <c r="I52">
        <v>104</v>
      </c>
      <c r="J52">
        <v>108</v>
      </c>
      <c r="L52" t="s">
        <v>17</v>
      </c>
      <c r="M52" s="3">
        <f t="shared" si="0"/>
        <v>1.8549996195361018</v>
      </c>
    </row>
    <row r="53" spans="1:36" x14ac:dyDescent="0.25">
      <c r="A53" t="s">
        <v>78</v>
      </c>
      <c r="B53">
        <v>2</v>
      </c>
      <c r="C53" t="s">
        <v>57</v>
      </c>
      <c r="D53" t="s">
        <v>433</v>
      </c>
      <c r="E53" t="s">
        <v>434</v>
      </c>
      <c r="F53" s="1">
        <v>1.9675925925925925E-5</v>
      </c>
      <c r="G53" t="s">
        <v>16</v>
      </c>
      <c r="H53">
        <v>4</v>
      </c>
      <c r="I53">
        <v>104</v>
      </c>
      <c r="J53">
        <v>108</v>
      </c>
      <c r="L53" t="s">
        <v>17</v>
      </c>
      <c r="M53" s="3">
        <f t="shared" si="0"/>
        <v>1.6999995801597834</v>
      </c>
      <c r="AI53" t="s">
        <v>707</v>
      </c>
      <c r="AJ53">
        <f>_xlfn.LET(
    _xlpm.sym_eligible, Y32,
    _xlpm.dsl_eligible, Z32,
    _xlpm.norm_eligible, AA32,
    (_xlpm.sym_eligible*1) + (_xlpm.dsl_eligible*1) + (_xlpm.norm_eligible*1)
)</f>
        <v>3</v>
      </c>
    </row>
    <row r="54" spans="1:36" x14ac:dyDescent="0.25">
      <c r="A54" t="s">
        <v>78</v>
      </c>
      <c r="B54">
        <v>3</v>
      </c>
      <c r="C54" t="s">
        <v>57</v>
      </c>
      <c r="D54" t="s">
        <v>435</v>
      </c>
      <c r="E54" t="s">
        <v>436</v>
      </c>
      <c r="F54" s="1">
        <v>1.2731481481481482E-5</v>
      </c>
      <c r="G54" t="s">
        <v>16</v>
      </c>
      <c r="H54">
        <v>4</v>
      </c>
      <c r="I54">
        <v>104</v>
      </c>
      <c r="J54">
        <v>108</v>
      </c>
      <c r="L54" t="s">
        <v>17</v>
      </c>
      <c r="M54" s="3">
        <f t="shared" si="0"/>
        <v>1.1189997894689441</v>
      </c>
      <c r="AI54" t="s">
        <v>708</v>
      </c>
      <c r="AJ54">
        <f>_xlfn.LET(
    _xlpm.sym_mean, Y44, _xlpm.sym_eligible, Y32,
    _xlpm.dsl_mean, Z44, _xlpm.dsl_eligible, Z32,
    _xlpm.norm_mean, AA44, _xlpm.norm_eligible, AA32,
    MIN(IF(_xlpm.sym_eligible, _xlpm.sym_mean, 9999), IF(_xlpm.dsl_eligible, _xlpm.dsl_mean, 9999), IF(_xlpm.norm_eligible, _xlpm.norm_mean, 9999))
)</f>
        <v>1.38</v>
      </c>
    </row>
    <row r="55" spans="1:36" x14ac:dyDescent="0.25">
      <c r="A55" t="s">
        <v>78</v>
      </c>
      <c r="B55">
        <v>4</v>
      </c>
      <c r="C55" t="s">
        <v>57</v>
      </c>
      <c r="D55" t="s">
        <v>437</v>
      </c>
      <c r="E55" t="s">
        <v>438</v>
      </c>
      <c r="F55" s="1">
        <v>1.5046296296296297E-5</v>
      </c>
      <c r="G55" t="s">
        <v>16</v>
      </c>
      <c r="H55">
        <v>4</v>
      </c>
      <c r="I55">
        <v>104</v>
      </c>
      <c r="J55">
        <v>108</v>
      </c>
      <c r="L55" t="s">
        <v>17</v>
      </c>
      <c r="M55" s="3">
        <f t="shared" si="0"/>
        <v>1.2669998919591308</v>
      </c>
      <c r="AI55" t="s">
        <v>690</v>
      </c>
      <c r="AJ55">
        <f>ROUND(AI34 * 0.05, 2)</f>
        <v>0</v>
      </c>
    </row>
    <row r="56" spans="1:36" x14ac:dyDescent="0.25">
      <c r="A56" t="s">
        <v>78</v>
      </c>
      <c r="B56">
        <v>5</v>
      </c>
      <c r="C56" t="s">
        <v>57</v>
      </c>
      <c r="D56" t="s">
        <v>439</v>
      </c>
      <c r="E56" t="s">
        <v>440</v>
      </c>
      <c r="F56" s="1">
        <v>1.7361111111111111E-5</v>
      </c>
      <c r="G56" t="s">
        <v>16</v>
      </c>
      <c r="H56">
        <v>4</v>
      </c>
      <c r="I56">
        <v>104</v>
      </c>
      <c r="J56">
        <v>108</v>
      </c>
      <c r="L56" t="s">
        <v>17</v>
      </c>
      <c r="M56" s="3">
        <f t="shared" si="0"/>
        <v>1.4610002981498837</v>
      </c>
      <c r="AI56" t="s">
        <v>709</v>
      </c>
      <c r="AJ56" t="str">
        <f>_xlfn.LET(
    _xlpm.sym_eligible, Y32, _xlpm.sym_risk_m3, Z21,
    _xlpm.dsl_eligible, Z32, _xlpm.dsl_risk_m3, AA21,
    _xlpm.norm_eligible, AA32, _xlpm.norm_risk_m3, AB21,
    IF(NOT(_xlpm.sym_eligible), "❌ Symbolic disqualified (" &amp; _xlpm.sym_risk_m3 &amp; " on Mar 3)&lt;br&gt;", "") &amp;
    IF(NOT(_xlpm.dsl_eligible), "❌ DSL/JSON disqualified (" &amp; _xlpm.dsl_risk_m3 &amp; " on Mar 3)&lt;br&gt;", "") &amp;
    IF(NOT(_xlpm.norm_eligible), "❌ Normal disqualified (" &amp; _xlpm.norm_risk_m3 &amp; " on Mar 3)&lt;br&gt;", "")
)</f>
        <v/>
      </c>
    </row>
    <row r="57" spans="1:36" x14ac:dyDescent="0.25">
      <c r="A57" t="s">
        <v>78</v>
      </c>
      <c r="B57">
        <v>6</v>
      </c>
      <c r="C57" t="s">
        <v>57</v>
      </c>
      <c r="D57" t="s">
        <v>441</v>
      </c>
      <c r="E57" t="s">
        <v>442</v>
      </c>
      <c r="F57" s="1">
        <v>1.6203703703703704E-5</v>
      </c>
      <c r="G57" t="s">
        <v>16</v>
      </c>
      <c r="H57">
        <v>4</v>
      </c>
      <c r="I57">
        <v>104</v>
      </c>
      <c r="J57">
        <v>108</v>
      </c>
      <c r="L57" t="s">
        <v>17</v>
      </c>
      <c r="M57" s="3">
        <f t="shared" si="0"/>
        <v>1.3619997538626194</v>
      </c>
      <c r="AI57" t="s">
        <v>710</v>
      </c>
      <c r="AJ57" t="str">
        <f>_xlfn.LET(
    _xlpm.sym_mean, Y44, _xlpm.sym_stability, AC44, _xlpm.sym_risk_m3, Z21, _xlpm.sym_risk_m5, AJ21,
    _xlpm.dsl_mean, Z44, _xlpm.dsl_stability, AD44, _xlpm.dsl_risk_m3, AA21, _xlpm.dsl_risk_m5, AK21,
    _xlpm.norm_mean, AA44, _xlpm.norm_stability, AE44, _xlpm.norm_risk_m3, AB21, _xlpm.norm_risk_m5, AL21,
    _xlpm.threshold, AJ55, _xlpm.notes, AJ56,
    _xlpm.min_mean, MIN(_xlpm.sym_mean, _xlpm.dsl_mean, _xlpm.norm_mean),
    _xlpm.tie_count, (_xlpm.sym_mean=_xlpm.min_mean)+(_xlpm.dsl_mean=_xlpm.min_mean)+(_xlpm.norm_mean=_xlpm.min_mean),
    _xlpm.all_tied, AND(ABS(_xlpm.sym_mean-_xlpm.dsl_mean)&lt;_xlpm.threshold, ABS(_xlpm.sym_mean-_xlpm.norm_mean)&lt;_xlpm.threshold, ABS(_xlpm.dsl_mean-_xlpm.norm_mean)&lt;_xlpm.threshold),
    IF(_xlpm.tie_count&gt;1,
        IF(_xlpm.all_tied,
            IF(AND(_xlpm.sym_stability&gt;=_xlpm.dsl_stability, _xlpm.sym_stability&gt;=_xlpm.norm_stability),
                "🏆 Symbolic" &amp; IF(OR(_xlpm.sym_risk_m3="🟡 MODERATE", _xlpm.sym_risk_m5="🟡 MODERATE"), "⚠️", "") &amp; " Conditional Winner (" &amp; TEXT(_xlpm.sym_mean,"0.00") &amp; "s)&lt;br&gt;&lt;sup&gt;⚖️ Three-way statistical tie | Symbolic wins on stability&lt;br&gt;" &amp; _xlpm.notes &amp; "&lt;/sup&gt;",
            IF(AND(_xlpm.dsl_stability&gt;=_xlpm.sym_stability, _xlpm.dsl_stability&gt;=_xlpm.norm_stability),
                "🏆 DSL/JSON" &amp; IF(OR(_xlpm.dsl_risk_m3="🟡 MODERATE", _xlpm.dsl_risk_m5="🟡 MODERATE"), "⚠️", "") &amp; " Conditional Winner (" &amp; TEXT(_xlpm.dsl_mean,"0.00") &amp; "s)&lt;br&gt;&lt;sup&gt;⚖️ Three-way statistical tie | DSL/JSON wins on stability&lt;br&gt;" &amp; _xlpm.notes &amp; "&lt;/sup&gt;",
                "🏆 Normal" &amp; IF(OR(_xlpm.norm_risk_m3="🟡 MODERATE", _xlpm.norm_risk_m5="🟡 MODERATE"), "⚠️", "") &amp; " Conditional Winner (" &amp; TEXT(_xlpm.norm_mean,"0.00") &amp; "s)&lt;br&gt;&lt;sup&gt;⚖️ Three-way statistical tie | Normal wins on stability&lt;br&gt;" &amp; _xlpm.notes &amp; "&lt;/sup&gt;")),
            "🏆 Need complex tie resolution"),
        IF(_xlpm.sym_mean=_xlpm.min_mean,
            "🏆 Symbolic" &amp; IF(OR(_xlpm.sym_risk_m3="🟡 MODERATE", _xlpm.sym_risk_m5="🟡 MODERATE"), "⚠️", "") &amp; " (" &amp; TEXT(_xlpm.sym_mean,"0.00") &amp; "s)&lt;br&gt;&lt;sup&gt;" &amp; _xlpm.notes &amp; "&lt;/sup&gt;",
        IF(_xlpm.dsl_mean=_xlpm.min_mean,
            "🏆 DSL/JSON" &amp; IF(OR(_xlpm.dsl_risk_m3="🟡 MODERATE", _xlpm.dsl_risk_m5="🟡 MODERATE"), "⚠️", "") &amp; " (" &amp; TEXT(_xlpm.dsl_mean,"0.00") &amp; "s)&lt;br&gt;&lt;sup&gt;" &amp; _xlpm.notes &amp; "&lt;/sup&gt;",
            "🏆 Normal" &amp; IF(OR(_xlpm.norm_risk_m3="🟡 MODERATE", _xlpm.norm_risk_m5="🟡 MODERATE"), "⚠️", "") &amp; " (" &amp; TEXT(_xlpm.norm_mean,"0.00") &amp; "s)&lt;br&gt;&lt;sup&gt;" &amp; _xlpm.notes &amp; "&lt;/sup&gt;")))
)</f>
        <v>🏆 DSL/JSON (1.38s)&lt;br&gt;&lt;sup&gt;&lt;/sup&gt;</v>
      </c>
    </row>
    <row r="58" spans="1:36" x14ac:dyDescent="0.25">
      <c r="A58" t="s">
        <v>78</v>
      </c>
      <c r="B58">
        <v>7</v>
      </c>
      <c r="C58" t="s">
        <v>57</v>
      </c>
      <c r="D58" t="s">
        <v>443</v>
      </c>
      <c r="E58" t="s">
        <v>444</v>
      </c>
      <c r="F58" s="1">
        <v>1.5046296296296297E-5</v>
      </c>
      <c r="G58" t="s">
        <v>16</v>
      </c>
      <c r="H58">
        <v>4</v>
      </c>
      <c r="I58">
        <v>104</v>
      </c>
      <c r="J58">
        <v>108</v>
      </c>
      <c r="L58" t="s">
        <v>17</v>
      </c>
      <c r="M58" s="3">
        <f t="shared" si="0"/>
        <v>1.2990003218874335</v>
      </c>
    </row>
    <row r="59" spans="1:36" x14ac:dyDescent="0.25">
      <c r="A59" t="s">
        <v>78</v>
      </c>
      <c r="B59">
        <v>8</v>
      </c>
      <c r="C59" t="s">
        <v>57</v>
      </c>
      <c r="D59" t="s">
        <v>445</v>
      </c>
      <c r="E59" t="s">
        <v>446</v>
      </c>
      <c r="F59" s="1">
        <v>1.6203703703703704E-5</v>
      </c>
      <c r="G59" t="s">
        <v>16</v>
      </c>
      <c r="H59">
        <v>4</v>
      </c>
      <c r="I59">
        <v>104</v>
      </c>
      <c r="J59">
        <v>108</v>
      </c>
      <c r="L59" t="s">
        <v>17</v>
      </c>
      <c r="M59" s="3">
        <f t="shared" si="0"/>
        <v>1.3790001394227147</v>
      </c>
    </row>
    <row r="60" spans="1:36" x14ac:dyDescent="0.25">
      <c r="A60" t="s">
        <v>78</v>
      </c>
      <c r="B60">
        <v>9</v>
      </c>
      <c r="C60" t="s">
        <v>57</v>
      </c>
      <c r="D60" t="s">
        <v>447</v>
      </c>
      <c r="E60" t="s">
        <v>448</v>
      </c>
      <c r="F60" s="1">
        <v>1.6203703703703704E-5</v>
      </c>
      <c r="G60" t="s">
        <v>16</v>
      </c>
      <c r="H60">
        <v>4</v>
      </c>
      <c r="I60">
        <v>104</v>
      </c>
      <c r="J60">
        <v>108</v>
      </c>
      <c r="L60" t="s">
        <v>17</v>
      </c>
      <c r="M60" s="3">
        <f t="shared" si="0"/>
        <v>1.4129996532574296</v>
      </c>
    </row>
    <row r="61" spans="1:36" x14ac:dyDescent="0.25">
      <c r="A61" t="s">
        <v>78</v>
      </c>
      <c r="B61">
        <v>10</v>
      </c>
      <c r="C61" t="s">
        <v>57</v>
      </c>
      <c r="D61" t="s">
        <v>449</v>
      </c>
      <c r="E61" t="s">
        <v>450</v>
      </c>
      <c r="F61" s="1">
        <v>1.3888888888888888E-5</v>
      </c>
      <c r="G61" t="s">
        <v>16</v>
      </c>
      <c r="H61">
        <v>4</v>
      </c>
      <c r="I61">
        <v>104</v>
      </c>
      <c r="J61">
        <v>108</v>
      </c>
      <c r="L61" t="s">
        <v>17</v>
      </c>
      <c r="M61" s="3">
        <f t="shared" si="0"/>
        <v>1.2119999388232827</v>
      </c>
    </row>
    <row r="62" spans="1:36" x14ac:dyDescent="0.25">
      <c r="A62" t="s">
        <v>139</v>
      </c>
      <c r="B62">
        <v>1</v>
      </c>
      <c r="C62" t="s">
        <v>13</v>
      </c>
      <c r="D62" t="s">
        <v>451</v>
      </c>
      <c r="E62" t="s">
        <v>452</v>
      </c>
      <c r="F62" s="1">
        <v>1.5046296296296297E-5</v>
      </c>
      <c r="G62" t="s">
        <v>16</v>
      </c>
      <c r="H62">
        <v>2</v>
      </c>
      <c r="I62">
        <v>67</v>
      </c>
      <c r="J62">
        <v>69</v>
      </c>
      <c r="L62" t="s">
        <v>17</v>
      </c>
      <c r="M62" s="3">
        <f t="shared" si="0"/>
        <v>1.3000004924833775</v>
      </c>
    </row>
    <row r="63" spans="1:36" x14ac:dyDescent="0.25">
      <c r="A63" t="s">
        <v>139</v>
      </c>
      <c r="B63">
        <v>2</v>
      </c>
      <c r="C63" t="s">
        <v>13</v>
      </c>
      <c r="D63" t="s">
        <v>453</v>
      </c>
      <c r="E63" t="s">
        <v>454</v>
      </c>
      <c r="F63" s="1">
        <v>1.2731481481481482E-5</v>
      </c>
      <c r="G63" t="s">
        <v>16</v>
      </c>
      <c r="H63">
        <v>2</v>
      </c>
      <c r="I63">
        <v>67</v>
      </c>
      <c r="J63">
        <v>69</v>
      </c>
      <c r="L63" t="s">
        <v>17</v>
      </c>
      <c r="M63" s="3">
        <f t="shared" si="0"/>
        <v>1.1350000044330955</v>
      </c>
    </row>
    <row r="64" spans="1:36" x14ac:dyDescent="0.25">
      <c r="A64" t="s">
        <v>139</v>
      </c>
      <c r="B64">
        <v>3</v>
      </c>
      <c r="C64" t="s">
        <v>13</v>
      </c>
      <c r="D64" t="s">
        <v>455</v>
      </c>
      <c r="E64" t="s">
        <v>456</v>
      </c>
      <c r="F64" s="1">
        <v>2.0833333333333333E-5</v>
      </c>
      <c r="G64" t="s">
        <v>16</v>
      </c>
      <c r="H64">
        <v>2</v>
      </c>
      <c r="I64">
        <v>67</v>
      </c>
      <c r="J64">
        <v>69</v>
      </c>
      <c r="L64" t="s">
        <v>17</v>
      </c>
      <c r="M64" s="3">
        <f t="shared" si="0"/>
        <v>1.0789998807013035</v>
      </c>
    </row>
    <row r="65" spans="1:13" x14ac:dyDescent="0.25">
      <c r="A65" t="s">
        <v>139</v>
      </c>
      <c r="B65">
        <v>4</v>
      </c>
      <c r="C65" t="s">
        <v>13</v>
      </c>
      <c r="D65" t="s">
        <v>457</v>
      </c>
      <c r="E65" t="s">
        <v>458</v>
      </c>
      <c r="F65" s="1">
        <v>1.3888888888888888E-5</v>
      </c>
      <c r="G65" t="s">
        <v>16</v>
      </c>
      <c r="H65">
        <v>2</v>
      </c>
      <c r="I65">
        <v>67</v>
      </c>
      <c r="J65">
        <v>69</v>
      </c>
      <c r="L65" t="s">
        <v>17</v>
      </c>
      <c r="M65" s="3">
        <f t="shared" si="0"/>
        <v>1.1720000300556421</v>
      </c>
    </row>
    <row r="66" spans="1:13" x14ac:dyDescent="0.25">
      <c r="A66" t="s">
        <v>139</v>
      </c>
      <c r="B66">
        <v>5</v>
      </c>
      <c r="C66" t="s">
        <v>13</v>
      </c>
      <c r="D66" t="s">
        <v>459</v>
      </c>
      <c r="E66" t="s">
        <v>460</v>
      </c>
      <c r="F66" s="1">
        <v>1.5046296296296297E-5</v>
      </c>
      <c r="G66" t="s">
        <v>16</v>
      </c>
      <c r="H66">
        <v>2</v>
      </c>
      <c r="I66">
        <v>67</v>
      </c>
      <c r="J66">
        <v>69</v>
      </c>
      <c r="L66" t="s">
        <v>17</v>
      </c>
      <c r="M66" s="3">
        <f t="shared" si="0"/>
        <v>1.2540001887828112</v>
      </c>
    </row>
    <row r="67" spans="1:13" x14ac:dyDescent="0.25">
      <c r="A67" t="s">
        <v>139</v>
      </c>
      <c r="B67">
        <v>6</v>
      </c>
      <c r="C67" t="s">
        <v>13</v>
      </c>
      <c r="D67" t="s">
        <v>461</v>
      </c>
      <c r="E67" t="s">
        <v>462</v>
      </c>
      <c r="F67" s="1">
        <v>1.2731481481481482E-5</v>
      </c>
      <c r="G67" t="s">
        <v>16</v>
      </c>
      <c r="H67">
        <v>2</v>
      </c>
      <c r="I67">
        <v>67</v>
      </c>
      <c r="J67">
        <v>69</v>
      </c>
      <c r="L67" t="s">
        <v>17</v>
      </c>
      <c r="M67" s="3">
        <f t="shared" ref="M67:M130" si="28">(SUBSTITUTE(LEFT(E67,23),"T"," ")-SUBSTITUTE(LEFT(D67,23),"T"," "))*86400</f>
        <v>1.0140001075342298</v>
      </c>
    </row>
    <row r="68" spans="1:13" x14ac:dyDescent="0.25">
      <c r="A68" t="s">
        <v>139</v>
      </c>
      <c r="B68">
        <v>7</v>
      </c>
      <c r="C68" t="s">
        <v>13</v>
      </c>
      <c r="D68" t="s">
        <v>463</v>
      </c>
      <c r="E68" t="s">
        <v>464</v>
      </c>
      <c r="F68" s="1">
        <v>1.5046296296296297E-5</v>
      </c>
      <c r="G68" t="s">
        <v>16</v>
      </c>
      <c r="H68">
        <v>2</v>
      </c>
      <c r="I68">
        <v>67</v>
      </c>
      <c r="J68">
        <v>69</v>
      </c>
      <c r="L68" t="s">
        <v>17</v>
      </c>
      <c r="M68" s="3">
        <f t="shared" si="28"/>
        <v>1.2680000625550747</v>
      </c>
    </row>
    <row r="69" spans="1:13" x14ac:dyDescent="0.25">
      <c r="A69" t="s">
        <v>139</v>
      </c>
      <c r="B69">
        <v>8</v>
      </c>
      <c r="C69" t="s">
        <v>13</v>
      </c>
      <c r="D69" t="s">
        <v>465</v>
      </c>
      <c r="E69" t="s">
        <v>466</v>
      </c>
      <c r="F69" s="1">
        <v>1.5046296296296297E-5</v>
      </c>
      <c r="G69" t="s">
        <v>16</v>
      </c>
      <c r="H69">
        <v>2</v>
      </c>
      <c r="I69">
        <v>67</v>
      </c>
      <c r="J69">
        <v>69</v>
      </c>
      <c r="L69" t="s">
        <v>17</v>
      </c>
      <c r="M69" s="3">
        <f t="shared" si="28"/>
        <v>1.3259998988360167</v>
      </c>
    </row>
    <row r="70" spans="1:13" x14ac:dyDescent="0.25">
      <c r="A70" t="s">
        <v>139</v>
      </c>
      <c r="B70">
        <v>9</v>
      </c>
      <c r="C70" t="s">
        <v>13</v>
      </c>
      <c r="D70" t="s">
        <v>467</v>
      </c>
      <c r="E70" t="s">
        <v>468</v>
      </c>
      <c r="F70" s="1">
        <v>1.3888888888888888E-5</v>
      </c>
      <c r="G70" t="s">
        <v>16</v>
      </c>
      <c r="H70">
        <v>2</v>
      </c>
      <c r="I70">
        <v>67</v>
      </c>
      <c r="J70">
        <v>69</v>
      </c>
      <c r="L70" t="s">
        <v>17</v>
      </c>
      <c r="M70" s="3">
        <f t="shared" si="28"/>
        <v>1.2390001444146037</v>
      </c>
    </row>
    <row r="71" spans="1:13" x14ac:dyDescent="0.25">
      <c r="A71" t="s">
        <v>139</v>
      </c>
      <c r="B71">
        <v>10</v>
      </c>
      <c r="C71" t="s">
        <v>13</v>
      </c>
      <c r="D71" t="s">
        <v>469</v>
      </c>
      <c r="E71" t="s">
        <v>470</v>
      </c>
      <c r="F71" s="1">
        <v>1.3888888888888888E-5</v>
      </c>
      <c r="G71" t="s">
        <v>16</v>
      </c>
      <c r="H71">
        <v>2</v>
      </c>
      <c r="I71">
        <v>67</v>
      </c>
      <c r="J71">
        <v>69</v>
      </c>
      <c r="L71" t="s">
        <v>17</v>
      </c>
      <c r="M71" s="3">
        <f t="shared" si="28"/>
        <v>1.1610000394284725</v>
      </c>
    </row>
    <row r="72" spans="1:13" x14ac:dyDescent="0.25">
      <c r="A72" t="s">
        <v>139</v>
      </c>
      <c r="B72">
        <v>1</v>
      </c>
      <c r="C72" t="s">
        <v>36</v>
      </c>
      <c r="D72" t="s">
        <v>471</v>
      </c>
      <c r="E72" t="s">
        <v>472</v>
      </c>
      <c r="F72" s="1">
        <v>1.5046296296296297E-5</v>
      </c>
      <c r="G72" t="s">
        <v>16</v>
      </c>
      <c r="H72">
        <v>2</v>
      </c>
      <c r="I72">
        <v>161</v>
      </c>
      <c r="J72">
        <v>163</v>
      </c>
      <c r="L72" t="s">
        <v>17</v>
      </c>
      <c r="M72" s="3">
        <f t="shared" si="28"/>
        <v>1.3340000063180923</v>
      </c>
    </row>
    <row r="73" spans="1:13" x14ac:dyDescent="0.25">
      <c r="A73" t="s">
        <v>139</v>
      </c>
      <c r="B73">
        <v>2</v>
      </c>
      <c r="C73" t="s">
        <v>36</v>
      </c>
      <c r="D73" t="s">
        <v>473</v>
      </c>
      <c r="E73" t="s">
        <v>474</v>
      </c>
      <c r="F73" s="1">
        <v>1.3888888888888888E-5</v>
      </c>
      <c r="G73" t="s">
        <v>16</v>
      </c>
      <c r="H73">
        <v>2</v>
      </c>
      <c r="I73">
        <v>161</v>
      </c>
      <c r="J73">
        <v>163</v>
      </c>
      <c r="L73" t="s">
        <v>17</v>
      </c>
      <c r="M73" s="3">
        <f t="shared" si="28"/>
        <v>1.1589996982365847</v>
      </c>
    </row>
    <row r="74" spans="1:13" x14ac:dyDescent="0.25">
      <c r="A74" t="s">
        <v>139</v>
      </c>
      <c r="B74">
        <v>3</v>
      </c>
      <c r="C74" t="s">
        <v>36</v>
      </c>
      <c r="D74" t="s">
        <v>475</v>
      </c>
      <c r="E74" t="s">
        <v>476</v>
      </c>
      <c r="F74" s="1">
        <v>1.2731481481481482E-5</v>
      </c>
      <c r="G74" t="s">
        <v>16</v>
      </c>
      <c r="H74">
        <v>2</v>
      </c>
      <c r="I74">
        <v>161</v>
      </c>
      <c r="J74">
        <v>163</v>
      </c>
      <c r="L74" t="s">
        <v>17</v>
      </c>
      <c r="M74" s="3">
        <f t="shared" si="28"/>
        <v>1.119999960064888</v>
      </c>
    </row>
    <row r="75" spans="1:13" x14ac:dyDescent="0.25">
      <c r="A75" t="s">
        <v>139</v>
      </c>
      <c r="B75">
        <v>4</v>
      </c>
      <c r="C75" t="s">
        <v>36</v>
      </c>
      <c r="D75" t="s">
        <v>477</v>
      </c>
      <c r="E75" t="s">
        <v>478</v>
      </c>
      <c r="F75" s="1">
        <v>1.3888888888888888E-5</v>
      </c>
      <c r="G75" t="s">
        <v>16</v>
      </c>
      <c r="H75">
        <v>2</v>
      </c>
      <c r="I75">
        <v>161</v>
      </c>
      <c r="J75">
        <v>163</v>
      </c>
      <c r="L75" t="s">
        <v>17</v>
      </c>
      <c r="M75" s="3">
        <f t="shared" si="28"/>
        <v>1.1919996701180935</v>
      </c>
    </row>
    <row r="76" spans="1:13" x14ac:dyDescent="0.25">
      <c r="A76" t="s">
        <v>139</v>
      </c>
      <c r="B76">
        <v>5</v>
      </c>
      <c r="C76" t="s">
        <v>36</v>
      </c>
      <c r="D76" t="s">
        <v>479</v>
      </c>
      <c r="E76" t="s">
        <v>480</v>
      </c>
      <c r="F76" s="1">
        <v>1.3888888888888888E-5</v>
      </c>
      <c r="G76" t="s">
        <v>16</v>
      </c>
      <c r="H76">
        <v>2</v>
      </c>
      <c r="I76">
        <v>161</v>
      </c>
      <c r="J76">
        <v>163</v>
      </c>
      <c r="L76" t="s">
        <v>17</v>
      </c>
      <c r="M76" s="3">
        <f t="shared" si="28"/>
        <v>1.2230005580931902</v>
      </c>
    </row>
    <row r="77" spans="1:13" x14ac:dyDescent="0.25">
      <c r="A77" t="s">
        <v>139</v>
      </c>
      <c r="B77">
        <v>6</v>
      </c>
      <c r="C77" t="s">
        <v>36</v>
      </c>
      <c r="D77" t="s">
        <v>481</v>
      </c>
      <c r="E77" t="s">
        <v>482</v>
      </c>
      <c r="F77" s="1">
        <v>1.1574074074074073E-5</v>
      </c>
      <c r="G77" t="s">
        <v>16</v>
      </c>
      <c r="H77">
        <v>2</v>
      </c>
      <c r="I77">
        <v>161</v>
      </c>
      <c r="J77">
        <v>163</v>
      </c>
      <c r="L77" t="s">
        <v>17</v>
      </c>
      <c r="M77" s="3">
        <f t="shared" si="28"/>
        <v>0.99999960511922836</v>
      </c>
    </row>
    <row r="78" spans="1:13" x14ac:dyDescent="0.25">
      <c r="A78" t="s">
        <v>139</v>
      </c>
      <c r="B78">
        <v>7</v>
      </c>
      <c r="C78" t="s">
        <v>36</v>
      </c>
      <c r="D78" t="s">
        <v>483</v>
      </c>
      <c r="E78" t="s">
        <v>484</v>
      </c>
      <c r="F78" s="1">
        <v>1.6203703703703704E-5</v>
      </c>
      <c r="G78" t="s">
        <v>16</v>
      </c>
      <c r="H78">
        <v>2</v>
      </c>
      <c r="I78">
        <v>161</v>
      </c>
      <c r="J78">
        <v>163</v>
      </c>
      <c r="L78" t="s">
        <v>17</v>
      </c>
      <c r="M78" s="3">
        <f t="shared" si="28"/>
        <v>1.036000088788569</v>
      </c>
    </row>
    <row r="79" spans="1:13" x14ac:dyDescent="0.25">
      <c r="A79" t="s">
        <v>139</v>
      </c>
      <c r="B79">
        <v>8</v>
      </c>
      <c r="C79" t="s">
        <v>36</v>
      </c>
      <c r="D79" t="s">
        <v>485</v>
      </c>
      <c r="E79" t="s">
        <v>486</v>
      </c>
      <c r="F79" s="1">
        <v>1.2731481481481482E-5</v>
      </c>
      <c r="G79" t="s">
        <v>16</v>
      </c>
      <c r="H79">
        <v>2</v>
      </c>
      <c r="I79">
        <v>161</v>
      </c>
      <c r="J79">
        <v>163</v>
      </c>
      <c r="L79" t="s">
        <v>17</v>
      </c>
      <c r="M79" s="3">
        <f t="shared" si="28"/>
        <v>1.1309999506920576</v>
      </c>
    </row>
    <row r="80" spans="1:13" x14ac:dyDescent="0.25">
      <c r="A80" t="s">
        <v>139</v>
      </c>
      <c r="B80">
        <v>9</v>
      </c>
      <c r="C80" t="s">
        <v>36</v>
      </c>
      <c r="D80" t="s">
        <v>487</v>
      </c>
      <c r="E80" t="s">
        <v>488</v>
      </c>
      <c r="F80" s="1">
        <v>1.1574074074074073E-5</v>
      </c>
      <c r="G80" t="s">
        <v>16</v>
      </c>
      <c r="H80">
        <v>2</v>
      </c>
      <c r="I80">
        <v>161</v>
      </c>
      <c r="J80">
        <v>163</v>
      </c>
      <c r="L80" t="s">
        <v>17</v>
      </c>
      <c r="M80" s="3">
        <f t="shared" si="28"/>
        <v>0.99400046747177839</v>
      </c>
    </row>
    <row r="81" spans="1:13" x14ac:dyDescent="0.25">
      <c r="A81" t="s">
        <v>139</v>
      </c>
      <c r="B81">
        <v>10</v>
      </c>
      <c r="C81" t="s">
        <v>36</v>
      </c>
      <c r="D81" t="s">
        <v>489</v>
      </c>
      <c r="E81" t="s">
        <v>490</v>
      </c>
      <c r="F81" s="1">
        <v>1.2731481481481482E-5</v>
      </c>
      <c r="G81" t="s">
        <v>16</v>
      </c>
      <c r="H81">
        <v>2</v>
      </c>
      <c r="I81">
        <v>161</v>
      </c>
      <c r="J81">
        <v>163</v>
      </c>
      <c r="L81" t="s">
        <v>17</v>
      </c>
      <c r="M81" s="3">
        <f t="shared" si="28"/>
        <v>1.1440002825111151</v>
      </c>
    </row>
    <row r="82" spans="1:13" x14ac:dyDescent="0.25">
      <c r="A82" t="s">
        <v>139</v>
      </c>
      <c r="B82">
        <v>1</v>
      </c>
      <c r="C82" t="s">
        <v>57</v>
      </c>
      <c r="D82" t="s">
        <v>491</v>
      </c>
      <c r="E82" t="s">
        <v>492</v>
      </c>
      <c r="F82" s="1">
        <v>1.5046296296296297E-5</v>
      </c>
      <c r="G82" t="s">
        <v>16</v>
      </c>
      <c r="H82">
        <v>2</v>
      </c>
      <c r="I82">
        <v>94</v>
      </c>
      <c r="J82">
        <v>96</v>
      </c>
      <c r="L82" t="s">
        <v>17</v>
      </c>
      <c r="M82" s="3">
        <f t="shared" si="28"/>
        <v>1.3189999619498849</v>
      </c>
    </row>
    <row r="83" spans="1:13" x14ac:dyDescent="0.25">
      <c r="A83" t="s">
        <v>139</v>
      </c>
      <c r="B83">
        <v>2</v>
      </c>
      <c r="C83" t="s">
        <v>57</v>
      </c>
      <c r="D83" t="s">
        <v>493</v>
      </c>
      <c r="E83" t="s">
        <v>494</v>
      </c>
      <c r="F83" s="1">
        <v>1.2731481481481482E-5</v>
      </c>
      <c r="G83" t="s">
        <v>16</v>
      </c>
      <c r="H83">
        <v>2</v>
      </c>
      <c r="I83">
        <v>94</v>
      </c>
      <c r="J83">
        <v>96</v>
      </c>
      <c r="L83" t="s">
        <v>17</v>
      </c>
      <c r="M83" s="3">
        <f t="shared" si="28"/>
        <v>1.1360001750290394</v>
      </c>
    </row>
    <row r="84" spans="1:13" x14ac:dyDescent="0.25">
      <c r="A84" t="s">
        <v>139</v>
      </c>
      <c r="B84">
        <v>3</v>
      </c>
      <c r="C84" t="s">
        <v>57</v>
      </c>
      <c r="D84" t="s">
        <v>495</v>
      </c>
      <c r="E84" t="s">
        <v>496</v>
      </c>
      <c r="F84" s="1">
        <v>1.3888888888888888E-5</v>
      </c>
      <c r="G84" t="s">
        <v>16</v>
      </c>
      <c r="H84">
        <v>2</v>
      </c>
      <c r="I84">
        <v>94</v>
      </c>
      <c r="J84">
        <v>96</v>
      </c>
      <c r="L84" t="s">
        <v>17</v>
      </c>
      <c r="M84" s="3">
        <f t="shared" si="28"/>
        <v>1.2189998757094145</v>
      </c>
    </row>
    <row r="85" spans="1:13" x14ac:dyDescent="0.25">
      <c r="A85" t="s">
        <v>139</v>
      </c>
      <c r="B85">
        <v>4</v>
      </c>
      <c r="C85" t="s">
        <v>57</v>
      </c>
      <c r="D85" t="s">
        <v>497</v>
      </c>
      <c r="E85" t="s">
        <v>498</v>
      </c>
      <c r="F85" s="1">
        <v>1.7361111111111111E-5</v>
      </c>
      <c r="G85" t="s">
        <v>16</v>
      </c>
      <c r="H85">
        <v>2</v>
      </c>
      <c r="I85">
        <v>94</v>
      </c>
      <c r="J85">
        <v>96</v>
      </c>
      <c r="L85" t="s">
        <v>17</v>
      </c>
      <c r="M85" s="3">
        <f t="shared" si="28"/>
        <v>1.0489997919648886</v>
      </c>
    </row>
    <row r="86" spans="1:13" x14ac:dyDescent="0.25">
      <c r="A86" t="s">
        <v>139</v>
      </c>
      <c r="B86">
        <v>5</v>
      </c>
      <c r="C86" t="s">
        <v>57</v>
      </c>
      <c r="D86" t="s">
        <v>499</v>
      </c>
      <c r="E86" t="s">
        <v>500</v>
      </c>
      <c r="F86" s="1">
        <v>1.3888888888888888E-5</v>
      </c>
      <c r="G86" t="s">
        <v>16</v>
      </c>
      <c r="H86">
        <v>2</v>
      </c>
      <c r="I86">
        <v>94</v>
      </c>
      <c r="J86">
        <v>96</v>
      </c>
      <c r="L86" t="s">
        <v>17</v>
      </c>
      <c r="M86" s="3">
        <f t="shared" si="28"/>
        <v>1.1599998688325286</v>
      </c>
    </row>
    <row r="87" spans="1:13" x14ac:dyDescent="0.25">
      <c r="A87" t="s">
        <v>139</v>
      </c>
      <c r="B87">
        <v>6</v>
      </c>
      <c r="C87" t="s">
        <v>57</v>
      </c>
      <c r="D87" t="s">
        <v>501</v>
      </c>
      <c r="E87" t="s">
        <v>502</v>
      </c>
      <c r="F87" s="1">
        <v>1.2731481481481482E-5</v>
      </c>
      <c r="G87" t="s">
        <v>16</v>
      </c>
      <c r="H87">
        <v>2</v>
      </c>
      <c r="I87">
        <v>94</v>
      </c>
      <c r="J87">
        <v>96</v>
      </c>
      <c r="L87" t="s">
        <v>17</v>
      </c>
      <c r="M87" s="3">
        <f t="shared" si="28"/>
        <v>1.1290002381429076</v>
      </c>
    </row>
    <row r="88" spans="1:13" x14ac:dyDescent="0.25">
      <c r="A88" t="s">
        <v>139</v>
      </c>
      <c r="B88">
        <v>7</v>
      </c>
      <c r="C88" t="s">
        <v>57</v>
      </c>
      <c r="D88" t="s">
        <v>503</v>
      </c>
      <c r="E88" t="s">
        <v>504</v>
      </c>
      <c r="F88" s="1">
        <v>1.1574074074074073E-5</v>
      </c>
      <c r="G88" t="s">
        <v>16</v>
      </c>
      <c r="H88">
        <v>2</v>
      </c>
      <c r="I88">
        <v>94</v>
      </c>
      <c r="J88">
        <v>96</v>
      </c>
      <c r="L88" t="s">
        <v>17</v>
      </c>
      <c r="M88" s="3">
        <f t="shared" si="28"/>
        <v>0.97599991131573915</v>
      </c>
    </row>
    <row r="89" spans="1:13" x14ac:dyDescent="0.25">
      <c r="A89" t="s">
        <v>139</v>
      </c>
      <c r="B89">
        <v>8</v>
      </c>
      <c r="C89" t="s">
        <v>57</v>
      </c>
      <c r="D89" t="s">
        <v>505</v>
      </c>
      <c r="E89" t="s">
        <v>506</v>
      </c>
      <c r="F89" s="1">
        <v>1.3888888888888888E-5</v>
      </c>
      <c r="G89" t="s">
        <v>16</v>
      </c>
      <c r="H89">
        <v>2</v>
      </c>
      <c r="I89">
        <v>94</v>
      </c>
      <c r="J89">
        <v>96</v>
      </c>
      <c r="L89" t="s">
        <v>17</v>
      </c>
      <c r="M89" s="3">
        <f t="shared" si="28"/>
        <v>1.2249996419996023</v>
      </c>
    </row>
    <row r="90" spans="1:13" x14ac:dyDescent="0.25">
      <c r="A90" t="s">
        <v>139</v>
      </c>
      <c r="B90">
        <v>9</v>
      </c>
      <c r="C90" t="s">
        <v>57</v>
      </c>
      <c r="D90" t="s">
        <v>507</v>
      </c>
      <c r="E90" t="s">
        <v>508</v>
      </c>
      <c r="F90" s="1">
        <v>1.2731481481481482E-5</v>
      </c>
      <c r="G90" t="s">
        <v>16</v>
      </c>
      <c r="H90">
        <v>2</v>
      </c>
      <c r="I90">
        <v>94</v>
      </c>
      <c r="J90">
        <v>96</v>
      </c>
      <c r="L90" t="s">
        <v>17</v>
      </c>
      <c r="M90" s="3">
        <f t="shared" si="28"/>
        <v>1.1319994926452637</v>
      </c>
    </row>
    <row r="91" spans="1:13" x14ac:dyDescent="0.25">
      <c r="A91" t="s">
        <v>139</v>
      </c>
      <c r="B91">
        <v>10</v>
      </c>
      <c r="C91" t="s">
        <v>57</v>
      </c>
      <c r="D91" t="s">
        <v>509</v>
      </c>
      <c r="E91" t="s">
        <v>510</v>
      </c>
      <c r="F91" s="1">
        <v>1.1574074074074073E-5</v>
      </c>
      <c r="G91" t="s">
        <v>16</v>
      </c>
      <c r="H91">
        <v>2</v>
      </c>
      <c r="I91">
        <v>94</v>
      </c>
      <c r="J91">
        <v>96</v>
      </c>
      <c r="L91" t="s">
        <v>17</v>
      </c>
      <c r="M91" s="3">
        <f t="shared" si="28"/>
        <v>0.96300020813941956</v>
      </c>
    </row>
    <row r="92" spans="1:13" x14ac:dyDescent="0.25">
      <c r="A92" t="s">
        <v>200</v>
      </c>
      <c r="B92">
        <v>1</v>
      </c>
      <c r="C92" t="s">
        <v>13</v>
      </c>
      <c r="D92" t="s">
        <v>511</v>
      </c>
      <c r="E92" t="s">
        <v>512</v>
      </c>
      <c r="F92" s="1">
        <v>1.5046296296296297E-5</v>
      </c>
      <c r="G92" t="s">
        <v>16</v>
      </c>
      <c r="H92">
        <v>3</v>
      </c>
      <c r="I92">
        <v>67</v>
      </c>
      <c r="J92">
        <v>70</v>
      </c>
      <c r="L92" t="s">
        <v>17</v>
      </c>
      <c r="M92" s="3">
        <f t="shared" si="28"/>
        <v>1.2980001512914896</v>
      </c>
    </row>
    <row r="93" spans="1:13" x14ac:dyDescent="0.25">
      <c r="A93" t="s">
        <v>200</v>
      </c>
      <c r="B93">
        <v>2</v>
      </c>
      <c r="C93" t="s">
        <v>13</v>
      </c>
      <c r="D93" t="s">
        <v>513</v>
      </c>
      <c r="E93" t="s">
        <v>514</v>
      </c>
      <c r="F93" s="1">
        <v>1.5046296296296297E-5</v>
      </c>
      <c r="G93" t="s">
        <v>16</v>
      </c>
      <c r="H93">
        <v>3</v>
      </c>
      <c r="I93">
        <v>67</v>
      </c>
      <c r="J93">
        <v>70</v>
      </c>
      <c r="L93" t="s">
        <v>17</v>
      </c>
      <c r="M93" s="3">
        <f t="shared" si="28"/>
        <v>1.3100003125146031</v>
      </c>
    </row>
    <row r="94" spans="1:13" x14ac:dyDescent="0.25">
      <c r="A94" t="s">
        <v>200</v>
      </c>
      <c r="B94">
        <v>3</v>
      </c>
      <c r="C94" t="s">
        <v>13</v>
      </c>
      <c r="D94" t="s">
        <v>515</v>
      </c>
      <c r="E94" t="s">
        <v>516</v>
      </c>
      <c r="F94" s="1">
        <v>1.3888888888888888E-5</v>
      </c>
      <c r="G94" t="s">
        <v>16</v>
      </c>
      <c r="H94">
        <v>3</v>
      </c>
      <c r="I94">
        <v>67</v>
      </c>
      <c r="J94">
        <v>70</v>
      </c>
      <c r="L94" t="s">
        <v>17</v>
      </c>
      <c r="M94" s="3">
        <f t="shared" si="28"/>
        <v>1.2400003150105476</v>
      </c>
    </row>
    <row r="95" spans="1:13" x14ac:dyDescent="0.25">
      <c r="A95" t="s">
        <v>200</v>
      </c>
      <c r="B95">
        <v>4</v>
      </c>
      <c r="C95" t="s">
        <v>13</v>
      </c>
      <c r="D95" t="s">
        <v>517</v>
      </c>
      <c r="E95" t="s">
        <v>518</v>
      </c>
      <c r="F95" s="1">
        <v>1.6203703703703704E-5</v>
      </c>
      <c r="G95" t="s">
        <v>16</v>
      </c>
      <c r="H95">
        <v>3</v>
      </c>
      <c r="I95">
        <v>67</v>
      </c>
      <c r="J95">
        <v>70</v>
      </c>
      <c r="L95" t="s">
        <v>17</v>
      </c>
      <c r="M95" s="3">
        <f t="shared" si="28"/>
        <v>1.3629999244585633</v>
      </c>
    </row>
    <row r="96" spans="1:13" x14ac:dyDescent="0.25">
      <c r="A96" t="s">
        <v>200</v>
      </c>
      <c r="B96">
        <v>5</v>
      </c>
      <c r="C96" t="s">
        <v>13</v>
      </c>
      <c r="D96" t="s">
        <v>519</v>
      </c>
      <c r="E96" t="s">
        <v>520</v>
      </c>
      <c r="F96" s="1">
        <v>1.2731481481481482E-5</v>
      </c>
      <c r="G96" t="s">
        <v>16</v>
      </c>
      <c r="H96">
        <v>3</v>
      </c>
      <c r="I96">
        <v>67</v>
      </c>
      <c r="J96">
        <v>70</v>
      </c>
      <c r="L96" t="s">
        <v>17</v>
      </c>
      <c r="M96" s="3">
        <f t="shared" si="28"/>
        <v>1.1100001400336623</v>
      </c>
    </row>
    <row r="97" spans="1:13" x14ac:dyDescent="0.25">
      <c r="A97" t="s">
        <v>200</v>
      </c>
      <c r="B97">
        <v>6</v>
      </c>
      <c r="C97" t="s">
        <v>13</v>
      </c>
      <c r="D97" t="s">
        <v>521</v>
      </c>
      <c r="E97" t="s">
        <v>522</v>
      </c>
      <c r="F97" s="1">
        <v>2.6620370370370369E-5</v>
      </c>
      <c r="G97" t="s">
        <v>16</v>
      </c>
      <c r="H97">
        <v>3</v>
      </c>
      <c r="I97">
        <v>67</v>
      </c>
      <c r="J97">
        <v>70</v>
      </c>
      <c r="L97" t="s">
        <v>17</v>
      </c>
      <c r="M97" s="3">
        <f t="shared" si="28"/>
        <v>2.2619999013841152</v>
      </c>
    </row>
    <row r="98" spans="1:13" x14ac:dyDescent="0.25">
      <c r="A98" t="s">
        <v>200</v>
      </c>
      <c r="B98">
        <v>7</v>
      </c>
      <c r="C98" t="s">
        <v>13</v>
      </c>
      <c r="D98" t="s">
        <v>523</v>
      </c>
      <c r="E98" t="s">
        <v>524</v>
      </c>
      <c r="F98" s="1">
        <v>1.5046296296296297E-5</v>
      </c>
      <c r="G98" t="s">
        <v>16</v>
      </c>
      <c r="H98">
        <v>3</v>
      </c>
      <c r="I98">
        <v>67</v>
      </c>
      <c r="J98">
        <v>70</v>
      </c>
      <c r="L98" t="s">
        <v>17</v>
      </c>
      <c r="M98" s="3">
        <f t="shared" si="28"/>
        <v>1.2669998919591308</v>
      </c>
    </row>
    <row r="99" spans="1:13" x14ac:dyDescent="0.25">
      <c r="A99" t="s">
        <v>200</v>
      </c>
      <c r="B99">
        <v>8</v>
      </c>
      <c r="C99" t="s">
        <v>13</v>
      </c>
      <c r="D99" t="s">
        <v>525</v>
      </c>
      <c r="E99" t="s">
        <v>526</v>
      </c>
      <c r="F99" s="1">
        <v>1.5046296296296297E-5</v>
      </c>
      <c r="G99" t="s">
        <v>16</v>
      </c>
      <c r="H99">
        <v>3</v>
      </c>
      <c r="I99">
        <v>67</v>
      </c>
      <c r="J99">
        <v>70</v>
      </c>
      <c r="L99" t="s">
        <v>17</v>
      </c>
      <c r="M99" s="3">
        <f t="shared" si="28"/>
        <v>1.2859999900683761</v>
      </c>
    </row>
    <row r="100" spans="1:13" x14ac:dyDescent="0.25">
      <c r="A100" t="s">
        <v>200</v>
      </c>
      <c r="B100">
        <v>9</v>
      </c>
      <c r="C100" t="s">
        <v>13</v>
      </c>
      <c r="D100" t="s">
        <v>527</v>
      </c>
      <c r="E100" t="s">
        <v>528</v>
      </c>
      <c r="F100" s="1">
        <v>1.5046296296296297E-5</v>
      </c>
      <c r="G100" t="s">
        <v>16</v>
      </c>
      <c r="H100">
        <v>3</v>
      </c>
      <c r="I100">
        <v>67</v>
      </c>
      <c r="J100">
        <v>70</v>
      </c>
      <c r="L100" t="s">
        <v>17</v>
      </c>
      <c r="M100" s="3">
        <f t="shared" si="28"/>
        <v>1.2729996582493186</v>
      </c>
    </row>
    <row r="101" spans="1:13" x14ac:dyDescent="0.25">
      <c r="A101" t="s">
        <v>200</v>
      </c>
      <c r="B101">
        <v>10</v>
      </c>
      <c r="C101" t="s">
        <v>13</v>
      </c>
      <c r="D101" t="s">
        <v>529</v>
      </c>
      <c r="E101" t="s">
        <v>530</v>
      </c>
      <c r="F101" s="1">
        <v>1.2731481481481482E-5</v>
      </c>
      <c r="G101" t="s">
        <v>16</v>
      </c>
      <c r="H101">
        <v>3</v>
      </c>
      <c r="I101">
        <v>67</v>
      </c>
      <c r="J101">
        <v>70</v>
      </c>
      <c r="L101" t="s">
        <v>17</v>
      </c>
      <c r="M101" s="3">
        <f t="shared" si="28"/>
        <v>1.1210001306608319</v>
      </c>
    </row>
    <row r="102" spans="1:13" x14ac:dyDescent="0.25">
      <c r="A102" t="s">
        <v>200</v>
      </c>
      <c r="B102">
        <v>1</v>
      </c>
      <c r="C102" t="s">
        <v>36</v>
      </c>
      <c r="D102" t="s">
        <v>531</v>
      </c>
      <c r="E102" t="s">
        <v>532</v>
      </c>
      <c r="F102" s="1">
        <v>1.2731481481481482E-5</v>
      </c>
      <c r="G102" t="s">
        <v>16</v>
      </c>
      <c r="H102">
        <v>3</v>
      </c>
      <c r="I102">
        <v>139</v>
      </c>
      <c r="J102">
        <v>142</v>
      </c>
      <c r="L102" t="s">
        <v>17</v>
      </c>
      <c r="M102" s="3">
        <f t="shared" si="28"/>
        <v>1.1320001212880015</v>
      </c>
    </row>
    <row r="103" spans="1:13" x14ac:dyDescent="0.25">
      <c r="A103" t="s">
        <v>200</v>
      </c>
      <c r="B103">
        <v>2</v>
      </c>
      <c r="C103" t="s">
        <v>36</v>
      </c>
      <c r="D103" t="s">
        <v>533</v>
      </c>
      <c r="E103" t="s">
        <v>534</v>
      </c>
      <c r="F103" s="1">
        <v>1.3888888888888888E-5</v>
      </c>
      <c r="G103" t="s">
        <v>16</v>
      </c>
      <c r="H103">
        <v>3</v>
      </c>
      <c r="I103">
        <v>139</v>
      </c>
      <c r="J103">
        <v>142</v>
      </c>
      <c r="L103" t="s">
        <v>17</v>
      </c>
      <c r="M103" s="3">
        <f t="shared" si="28"/>
        <v>1.1819998500868678</v>
      </c>
    </row>
    <row r="104" spans="1:13" x14ac:dyDescent="0.25">
      <c r="A104" t="s">
        <v>200</v>
      </c>
      <c r="B104">
        <v>3</v>
      </c>
      <c r="C104" t="s">
        <v>36</v>
      </c>
      <c r="D104" t="s">
        <v>535</v>
      </c>
      <c r="E104" t="s">
        <v>536</v>
      </c>
      <c r="F104" s="1">
        <v>1.2731481481481482E-5</v>
      </c>
      <c r="G104" t="s">
        <v>16</v>
      </c>
      <c r="H104">
        <v>3</v>
      </c>
      <c r="I104">
        <v>139</v>
      </c>
      <c r="J104">
        <v>142</v>
      </c>
      <c r="L104" t="s">
        <v>17</v>
      </c>
      <c r="M104" s="3">
        <f t="shared" si="28"/>
        <v>1.1060000862926245</v>
      </c>
    </row>
    <row r="105" spans="1:13" x14ac:dyDescent="0.25">
      <c r="A105" t="s">
        <v>200</v>
      </c>
      <c r="B105">
        <v>4</v>
      </c>
      <c r="C105" t="s">
        <v>36</v>
      </c>
      <c r="D105" t="s">
        <v>537</v>
      </c>
      <c r="E105" t="s">
        <v>538</v>
      </c>
      <c r="F105" s="1">
        <v>1.3888888888888888E-5</v>
      </c>
      <c r="G105" t="s">
        <v>16</v>
      </c>
      <c r="H105">
        <v>3</v>
      </c>
      <c r="I105">
        <v>139</v>
      </c>
      <c r="J105">
        <v>142</v>
      </c>
      <c r="L105" t="s">
        <v>17</v>
      </c>
      <c r="M105" s="3">
        <f t="shared" si="28"/>
        <v>1.2460000813007355</v>
      </c>
    </row>
    <row r="106" spans="1:13" x14ac:dyDescent="0.25">
      <c r="A106" t="s">
        <v>200</v>
      </c>
      <c r="B106">
        <v>5</v>
      </c>
      <c r="C106" t="s">
        <v>36</v>
      </c>
      <c r="D106" t="s">
        <v>539</v>
      </c>
      <c r="E106" t="s">
        <v>540</v>
      </c>
      <c r="F106" s="1">
        <v>1.7361111111111111E-5</v>
      </c>
      <c r="G106" t="s">
        <v>16</v>
      </c>
      <c r="H106">
        <v>3</v>
      </c>
      <c r="I106">
        <v>139</v>
      </c>
      <c r="J106">
        <v>142</v>
      </c>
      <c r="L106" t="s">
        <v>17</v>
      </c>
      <c r="M106" s="3">
        <f t="shared" si="28"/>
        <v>1.5049996320158243</v>
      </c>
    </row>
    <row r="107" spans="1:13" x14ac:dyDescent="0.25">
      <c r="A107" t="s">
        <v>200</v>
      </c>
      <c r="B107">
        <v>6</v>
      </c>
      <c r="C107" t="s">
        <v>36</v>
      </c>
      <c r="D107" t="s">
        <v>541</v>
      </c>
      <c r="E107" t="s">
        <v>542</v>
      </c>
      <c r="F107" s="1">
        <v>1.5046296296296297E-5</v>
      </c>
      <c r="G107" t="s">
        <v>16</v>
      </c>
      <c r="H107">
        <v>3</v>
      </c>
      <c r="I107">
        <v>139</v>
      </c>
      <c r="J107">
        <v>142</v>
      </c>
      <c r="L107" t="s">
        <v>17</v>
      </c>
      <c r="M107" s="3">
        <f t="shared" si="28"/>
        <v>1.2590004131197929</v>
      </c>
    </row>
    <row r="108" spans="1:13" x14ac:dyDescent="0.25">
      <c r="A108" t="s">
        <v>200</v>
      </c>
      <c r="B108">
        <v>7</v>
      </c>
      <c r="C108" t="s">
        <v>36</v>
      </c>
      <c r="D108" t="s">
        <v>543</v>
      </c>
      <c r="E108" t="s">
        <v>544</v>
      </c>
      <c r="F108" s="1">
        <v>1.3888888888888888E-5</v>
      </c>
      <c r="G108" t="s">
        <v>16</v>
      </c>
      <c r="H108">
        <v>3</v>
      </c>
      <c r="I108">
        <v>139</v>
      </c>
      <c r="J108">
        <v>142</v>
      </c>
      <c r="L108" t="s">
        <v>17</v>
      </c>
      <c r="M108" s="3">
        <f t="shared" si="28"/>
        <v>1.1770002543926239</v>
      </c>
    </row>
    <row r="109" spans="1:13" x14ac:dyDescent="0.25">
      <c r="A109" t="s">
        <v>200</v>
      </c>
      <c r="B109">
        <v>8</v>
      </c>
      <c r="C109" t="s">
        <v>36</v>
      </c>
      <c r="D109" t="s">
        <v>545</v>
      </c>
      <c r="E109" t="s">
        <v>546</v>
      </c>
      <c r="F109" s="1">
        <v>1.3888888888888888E-5</v>
      </c>
      <c r="G109" t="s">
        <v>16</v>
      </c>
      <c r="H109">
        <v>3</v>
      </c>
      <c r="I109">
        <v>139</v>
      </c>
      <c r="J109">
        <v>142</v>
      </c>
      <c r="L109" t="s">
        <v>17</v>
      </c>
      <c r="M109" s="3">
        <f t="shared" si="28"/>
        <v>1.2259998125955462</v>
      </c>
    </row>
    <row r="110" spans="1:13" x14ac:dyDescent="0.25">
      <c r="A110" t="s">
        <v>200</v>
      </c>
      <c r="B110">
        <v>9</v>
      </c>
      <c r="C110" t="s">
        <v>36</v>
      </c>
      <c r="D110" t="s">
        <v>547</v>
      </c>
      <c r="E110" t="s">
        <v>548</v>
      </c>
      <c r="F110" s="1">
        <v>1.5046296296296297E-5</v>
      </c>
      <c r="G110" t="s">
        <v>16</v>
      </c>
      <c r="H110">
        <v>3</v>
      </c>
      <c r="I110">
        <v>139</v>
      </c>
      <c r="J110">
        <v>142</v>
      </c>
      <c r="L110" t="s">
        <v>17</v>
      </c>
      <c r="M110" s="3">
        <f t="shared" si="28"/>
        <v>1.2749999994412065</v>
      </c>
    </row>
    <row r="111" spans="1:13" x14ac:dyDescent="0.25">
      <c r="A111" t="s">
        <v>200</v>
      </c>
      <c r="B111">
        <v>10</v>
      </c>
      <c r="C111" t="s">
        <v>36</v>
      </c>
      <c r="D111" t="s">
        <v>549</v>
      </c>
      <c r="E111" t="s">
        <v>550</v>
      </c>
      <c r="F111" s="1">
        <v>2.8935185185185186E-5</v>
      </c>
      <c r="G111" t="s">
        <v>16</v>
      </c>
      <c r="H111">
        <v>3</v>
      </c>
      <c r="I111">
        <v>139</v>
      </c>
      <c r="J111">
        <v>142</v>
      </c>
      <c r="L111" t="s">
        <v>17</v>
      </c>
      <c r="M111" s="3">
        <f t="shared" si="28"/>
        <v>2.5370002957060933</v>
      </c>
    </row>
    <row r="112" spans="1:13" x14ac:dyDescent="0.25">
      <c r="A112" t="s">
        <v>200</v>
      </c>
      <c r="B112">
        <v>1</v>
      </c>
      <c r="C112" t="s">
        <v>57</v>
      </c>
      <c r="D112" t="s">
        <v>551</v>
      </c>
      <c r="E112" t="s">
        <v>552</v>
      </c>
      <c r="F112" s="1">
        <v>1.5046296296296297E-5</v>
      </c>
      <c r="G112" t="s">
        <v>16</v>
      </c>
      <c r="H112">
        <v>3</v>
      </c>
      <c r="I112">
        <v>101</v>
      </c>
      <c r="J112">
        <v>104</v>
      </c>
      <c r="L112" t="s">
        <v>17</v>
      </c>
      <c r="M112" s="3">
        <f t="shared" si="28"/>
        <v>1.2690002331510186</v>
      </c>
    </row>
    <row r="113" spans="1:13" x14ac:dyDescent="0.25">
      <c r="A113" t="s">
        <v>200</v>
      </c>
      <c r="B113">
        <v>2</v>
      </c>
      <c r="C113" t="s">
        <v>57</v>
      </c>
      <c r="D113" t="s">
        <v>553</v>
      </c>
      <c r="E113" t="s">
        <v>554</v>
      </c>
      <c r="F113" s="1">
        <v>1.3888888888888888E-5</v>
      </c>
      <c r="G113" t="s">
        <v>16</v>
      </c>
      <c r="H113">
        <v>3</v>
      </c>
      <c r="I113">
        <v>101</v>
      </c>
      <c r="J113">
        <v>104</v>
      </c>
      <c r="L113" t="s">
        <v>17</v>
      </c>
      <c r="M113" s="3">
        <f t="shared" si="28"/>
        <v>1.2370004318654537</v>
      </c>
    </row>
    <row r="114" spans="1:13" x14ac:dyDescent="0.25">
      <c r="A114" t="s">
        <v>200</v>
      </c>
      <c r="B114">
        <v>3</v>
      </c>
      <c r="C114" t="s">
        <v>57</v>
      </c>
      <c r="D114" t="s">
        <v>555</v>
      </c>
      <c r="E114" t="s">
        <v>556</v>
      </c>
      <c r="F114" s="1">
        <v>1.3888888888888888E-5</v>
      </c>
      <c r="G114" t="s">
        <v>16</v>
      </c>
      <c r="H114">
        <v>3</v>
      </c>
      <c r="I114">
        <v>101</v>
      </c>
      <c r="J114">
        <v>104</v>
      </c>
      <c r="L114" t="s">
        <v>17</v>
      </c>
      <c r="M114" s="3">
        <f t="shared" si="28"/>
        <v>1.1559998150914907</v>
      </c>
    </row>
    <row r="115" spans="1:13" x14ac:dyDescent="0.25">
      <c r="A115" t="s">
        <v>200</v>
      </c>
      <c r="B115">
        <v>4</v>
      </c>
      <c r="C115" t="s">
        <v>57</v>
      </c>
      <c r="D115" t="s">
        <v>557</v>
      </c>
      <c r="E115" t="s">
        <v>558</v>
      </c>
      <c r="F115" s="1">
        <v>1.3888888888888888E-5</v>
      </c>
      <c r="G115" t="s">
        <v>16</v>
      </c>
      <c r="H115">
        <v>3</v>
      </c>
      <c r="I115">
        <v>101</v>
      </c>
      <c r="J115">
        <v>104</v>
      </c>
      <c r="L115" t="s">
        <v>17</v>
      </c>
      <c r="M115" s="3">
        <f t="shared" si="28"/>
        <v>1.2350000906735659</v>
      </c>
    </row>
    <row r="116" spans="1:13" x14ac:dyDescent="0.25">
      <c r="A116" t="s">
        <v>200</v>
      </c>
      <c r="B116">
        <v>5</v>
      </c>
      <c r="C116" t="s">
        <v>57</v>
      </c>
      <c r="D116" t="s">
        <v>559</v>
      </c>
      <c r="E116" t="s">
        <v>560</v>
      </c>
      <c r="F116" s="1">
        <v>1.2731481481481482E-5</v>
      </c>
      <c r="G116" t="s">
        <v>16</v>
      </c>
      <c r="H116">
        <v>3</v>
      </c>
      <c r="I116">
        <v>101</v>
      </c>
      <c r="J116">
        <v>104</v>
      </c>
      <c r="L116" t="s">
        <v>17</v>
      </c>
      <c r="M116" s="3">
        <f t="shared" si="28"/>
        <v>1.1229998432099819</v>
      </c>
    </row>
    <row r="117" spans="1:13" x14ac:dyDescent="0.25">
      <c r="A117" t="s">
        <v>200</v>
      </c>
      <c r="B117">
        <v>6</v>
      </c>
      <c r="C117" t="s">
        <v>57</v>
      </c>
      <c r="D117" t="s">
        <v>561</v>
      </c>
      <c r="E117" t="s">
        <v>562</v>
      </c>
      <c r="F117" s="1">
        <v>1.2731481481481482E-5</v>
      </c>
      <c r="G117" t="s">
        <v>16</v>
      </c>
      <c r="H117">
        <v>3</v>
      </c>
      <c r="I117">
        <v>101</v>
      </c>
      <c r="J117">
        <v>104</v>
      </c>
      <c r="L117" t="s">
        <v>17</v>
      </c>
      <c r="M117" s="3">
        <f t="shared" si="28"/>
        <v>1.1419999413192272</v>
      </c>
    </row>
    <row r="118" spans="1:13" x14ac:dyDescent="0.25">
      <c r="A118" t="s">
        <v>200</v>
      </c>
      <c r="B118">
        <v>7</v>
      </c>
      <c r="C118" t="s">
        <v>57</v>
      </c>
      <c r="D118" t="s">
        <v>563</v>
      </c>
      <c r="E118" t="s">
        <v>564</v>
      </c>
      <c r="F118" s="1">
        <v>1.3888888888888888E-5</v>
      </c>
      <c r="G118" t="s">
        <v>16</v>
      </c>
      <c r="H118">
        <v>3</v>
      </c>
      <c r="I118">
        <v>101</v>
      </c>
      <c r="J118">
        <v>104</v>
      </c>
      <c r="L118" t="s">
        <v>17</v>
      </c>
      <c r="M118" s="3">
        <f t="shared" si="28"/>
        <v>1.1679999763146043</v>
      </c>
    </row>
    <row r="119" spans="1:13" x14ac:dyDescent="0.25">
      <c r="A119" t="s">
        <v>200</v>
      </c>
      <c r="B119">
        <v>8</v>
      </c>
      <c r="C119" t="s">
        <v>57</v>
      </c>
      <c r="D119" t="s">
        <v>565</v>
      </c>
      <c r="E119" t="s">
        <v>566</v>
      </c>
      <c r="F119" s="1">
        <v>1.7361111111111111E-5</v>
      </c>
      <c r="G119" t="s">
        <v>16</v>
      </c>
      <c r="H119">
        <v>3</v>
      </c>
      <c r="I119">
        <v>101</v>
      </c>
      <c r="J119">
        <v>104</v>
      </c>
      <c r="L119" t="s">
        <v>17</v>
      </c>
      <c r="M119" s="3">
        <f t="shared" si="28"/>
        <v>1.4939996413886547</v>
      </c>
    </row>
    <row r="120" spans="1:13" x14ac:dyDescent="0.25">
      <c r="A120" t="s">
        <v>200</v>
      </c>
      <c r="B120">
        <v>9</v>
      </c>
      <c r="C120" t="s">
        <v>57</v>
      </c>
      <c r="D120" t="s">
        <v>567</v>
      </c>
      <c r="E120" t="s">
        <v>568</v>
      </c>
      <c r="F120" s="1">
        <v>1.2731481481481482E-5</v>
      </c>
      <c r="G120" t="s">
        <v>16</v>
      </c>
      <c r="H120">
        <v>3</v>
      </c>
      <c r="I120">
        <v>101</v>
      </c>
      <c r="J120">
        <v>104</v>
      </c>
      <c r="L120" t="s">
        <v>17</v>
      </c>
      <c r="M120" s="3">
        <f t="shared" si="28"/>
        <v>1.1350000044330955</v>
      </c>
    </row>
    <row r="121" spans="1:13" x14ac:dyDescent="0.25">
      <c r="A121" t="s">
        <v>200</v>
      </c>
      <c r="B121">
        <v>10</v>
      </c>
      <c r="C121" t="s">
        <v>57</v>
      </c>
      <c r="D121" t="s">
        <v>569</v>
      </c>
      <c r="E121" t="s">
        <v>570</v>
      </c>
      <c r="F121" s="1">
        <v>2.3148148148148147E-5</v>
      </c>
      <c r="G121" t="s">
        <v>16</v>
      </c>
      <c r="H121">
        <v>3</v>
      </c>
      <c r="I121">
        <v>101</v>
      </c>
      <c r="J121">
        <v>104</v>
      </c>
      <c r="L121" t="s">
        <v>17</v>
      </c>
      <c r="M121" s="3">
        <f t="shared" si="28"/>
        <v>1.0990001494064927</v>
      </c>
    </row>
    <row r="122" spans="1:13" x14ac:dyDescent="0.25">
      <c r="A122" t="s">
        <v>261</v>
      </c>
      <c r="B122">
        <v>1</v>
      </c>
      <c r="C122" t="s">
        <v>13</v>
      </c>
      <c r="D122" t="s">
        <v>571</v>
      </c>
      <c r="E122" t="s">
        <v>572</v>
      </c>
      <c r="F122" s="1">
        <v>2.0833333333333333E-5</v>
      </c>
      <c r="G122" t="s">
        <v>16</v>
      </c>
      <c r="H122">
        <v>3</v>
      </c>
      <c r="I122">
        <v>91</v>
      </c>
      <c r="J122">
        <v>94</v>
      </c>
      <c r="L122" t="s">
        <v>17</v>
      </c>
      <c r="M122" s="3">
        <f t="shared" si="28"/>
        <v>1.8049998907372355</v>
      </c>
    </row>
    <row r="123" spans="1:13" x14ac:dyDescent="0.25">
      <c r="A123" t="s">
        <v>261</v>
      </c>
      <c r="B123">
        <v>2</v>
      </c>
      <c r="C123" t="s">
        <v>13</v>
      </c>
      <c r="D123" t="s">
        <v>573</v>
      </c>
      <c r="E123" t="s">
        <v>574</v>
      </c>
      <c r="F123" s="1">
        <v>1.6203703703703704E-5</v>
      </c>
      <c r="G123" t="s">
        <v>16</v>
      </c>
      <c r="H123">
        <v>3</v>
      </c>
      <c r="I123">
        <v>91</v>
      </c>
      <c r="J123">
        <v>94</v>
      </c>
      <c r="L123" t="s">
        <v>17</v>
      </c>
      <c r="M123" s="3">
        <f t="shared" si="28"/>
        <v>1.4439999125897884</v>
      </c>
    </row>
    <row r="124" spans="1:13" x14ac:dyDescent="0.25">
      <c r="A124" t="s">
        <v>261</v>
      </c>
      <c r="B124">
        <v>3</v>
      </c>
      <c r="C124" t="s">
        <v>13</v>
      </c>
      <c r="D124" t="s">
        <v>575</v>
      </c>
      <c r="E124" t="s">
        <v>576</v>
      </c>
      <c r="F124" s="1">
        <v>1.7361111111111111E-5</v>
      </c>
      <c r="G124" t="s">
        <v>16</v>
      </c>
      <c r="H124">
        <v>3</v>
      </c>
      <c r="I124">
        <v>91</v>
      </c>
      <c r="J124">
        <v>94</v>
      </c>
      <c r="L124" t="s">
        <v>17</v>
      </c>
      <c r="M124" s="3">
        <f t="shared" si="28"/>
        <v>1.5439999988302588</v>
      </c>
    </row>
    <row r="125" spans="1:13" x14ac:dyDescent="0.25">
      <c r="A125" t="s">
        <v>261</v>
      </c>
      <c r="B125">
        <v>4</v>
      </c>
      <c r="C125" t="s">
        <v>13</v>
      </c>
      <c r="D125" t="s">
        <v>577</v>
      </c>
      <c r="E125" t="s">
        <v>578</v>
      </c>
      <c r="F125" s="1">
        <v>1.6203703703703704E-5</v>
      </c>
      <c r="G125" t="s">
        <v>16</v>
      </c>
      <c r="H125">
        <v>3</v>
      </c>
      <c r="I125">
        <v>91</v>
      </c>
      <c r="J125">
        <v>94</v>
      </c>
      <c r="L125" t="s">
        <v>17</v>
      </c>
      <c r="M125" s="3">
        <f t="shared" si="28"/>
        <v>1.4410000294446945</v>
      </c>
    </row>
    <row r="126" spans="1:13" x14ac:dyDescent="0.25">
      <c r="A126" t="s">
        <v>261</v>
      </c>
      <c r="B126">
        <v>5</v>
      </c>
      <c r="C126" t="s">
        <v>13</v>
      </c>
      <c r="D126" t="s">
        <v>579</v>
      </c>
      <c r="E126" t="s">
        <v>580</v>
      </c>
      <c r="F126" s="1">
        <v>2.0833333333333333E-5</v>
      </c>
      <c r="G126" t="s">
        <v>16</v>
      </c>
      <c r="H126">
        <v>3</v>
      </c>
      <c r="I126">
        <v>91</v>
      </c>
      <c r="J126">
        <v>94</v>
      </c>
      <c r="L126" t="s">
        <v>17</v>
      </c>
      <c r="M126" s="3">
        <f t="shared" si="28"/>
        <v>1.7960002413019538</v>
      </c>
    </row>
    <row r="127" spans="1:13" x14ac:dyDescent="0.25">
      <c r="A127" t="s">
        <v>261</v>
      </c>
      <c r="B127">
        <v>6</v>
      </c>
      <c r="C127" t="s">
        <v>13</v>
      </c>
      <c r="D127" t="s">
        <v>581</v>
      </c>
      <c r="E127" t="s">
        <v>582</v>
      </c>
      <c r="F127" s="1">
        <v>1.6203703703703704E-5</v>
      </c>
      <c r="G127" t="s">
        <v>16</v>
      </c>
      <c r="H127">
        <v>3</v>
      </c>
      <c r="I127">
        <v>91</v>
      </c>
      <c r="J127">
        <v>94</v>
      </c>
      <c r="L127" t="s">
        <v>17</v>
      </c>
      <c r="M127" s="3">
        <f t="shared" si="28"/>
        <v>1.4159995364025235</v>
      </c>
    </row>
    <row r="128" spans="1:13" x14ac:dyDescent="0.25">
      <c r="A128" t="s">
        <v>261</v>
      </c>
      <c r="B128">
        <v>7</v>
      </c>
      <c r="C128" t="s">
        <v>13</v>
      </c>
      <c r="D128" t="s">
        <v>583</v>
      </c>
      <c r="E128" t="s">
        <v>584</v>
      </c>
      <c r="F128" s="1">
        <v>2.0833333333333333E-5</v>
      </c>
      <c r="G128" t="s">
        <v>16</v>
      </c>
      <c r="H128">
        <v>3</v>
      </c>
      <c r="I128">
        <v>91</v>
      </c>
      <c r="J128">
        <v>94</v>
      </c>
      <c r="L128" t="s">
        <v>17</v>
      </c>
      <c r="M128" s="3">
        <f t="shared" si="28"/>
        <v>1.791000016964972</v>
      </c>
    </row>
    <row r="129" spans="1:13" x14ac:dyDescent="0.25">
      <c r="A129" t="s">
        <v>261</v>
      </c>
      <c r="B129">
        <v>8</v>
      </c>
      <c r="C129" t="s">
        <v>13</v>
      </c>
      <c r="D129" t="s">
        <v>585</v>
      </c>
      <c r="E129" t="s">
        <v>586</v>
      </c>
      <c r="F129" s="1">
        <v>1.7361111111111111E-5</v>
      </c>
      <c r="G129" t="s">
        <v>16</v>
      </c>
      <c r="H129">
        <v>3</v>
      </c>
      <c r="I129">
        <v>91</v>
      </c>
      <c r="J129">
        <v>94</v>
      </c>
      <c r="L129" t="s">
        <v>17</v>
      </c>
      <c r="M129" s="3">
        <f t="shared" si="28"/>
        <v>1.4710001181811094</v>
      </c>
    </row>
    <row r="130" spans="1:13" x14ac:dyDescent="0.25">
      <c r="A130" t="s">
        <v>261</v>
      </c>
      <c r="B130">
        <v>9</v>
      </c>
      <c r="C130" t="s">
        <v>13</v>
      </c>
      <c r="D130" t="s">
        <v>587</v>
      </c>
      <c r="E130" t="s">
        <v>588</v>
      </c>
      <c r="F130" s="1">
        <v>1.7361111111111111E-5</v>
      </c>
      <c r="G130" t="s">
        <v>16</v>
      </c>
      <c r="H130">
        <v>3</v>
      </c>
      <c r="I130">
        <v>91</v>
      </c>
      <c r="J130">
        <v>94</v>
      </c>
      <c r="L130" t="s">
        <v>17</v>
      </c>
      <c r="M130" s="3">
        <f t="shared" si="28"/>
        <v>1.4680002350360155</v>
      </c>
    </row>
    <row r="131" spans="1:13" x14ac:dyDescent="0.25">
      <c r="A131" t="s">
        <v>261</v>
      </c>
      <c r="B131">
        <v>10</v>
      </c>
      <c r="C131" t="s">
        <v>13</v>
      </c>
      <c r="D131" t="s">
        <v>589</v>
      </c>
      <c r="E131" t="s">
        <v>590</v>
      </c>
      <c r="F131" s="1">
        <v>1.7361111111111111E-5</v>
      </c>
      <c r="G131" t="s">
        <v>16</v>
      </c>
      <c r="H131">
        <v>3</v>
      </c>
      <c r="I131">
        <v>91</v>
      </c>
      <c r="J131">
        <v>94</v>
      </c>
      <c r="L131" t="s">
        <v>17</v>
      </c>
      <c r="M131" s="3">
        <f t="shared" ref="M131:M194" si="29">(SUBSTITUTE(LEFT(E131,23),"T"," ")-SUBSTITUTE(LEFT(D131,23),"T"," "))*86400</f>
        <v>1.4980003237724304</v>
      </c>
    </row>
    <row r="132" spans="1:13" x14ac:dyDescent="0.25">
      <c r="A132" t="s">
        <v>261</v>
      </c>
      <c r="B132">
        <v>1</v>
      </c>
      <c r="C132" t="s">
        <v>36</v>
      </c>
      <c r="D132" t="s">
        <v>591</v>
      </c>
      <c r="E132" t="s">
        <v>592</v>
      </c>
      <c r="F132" s="1">
        <v>1.6203703703703704E-5</v>
      </c>
      <c r="G132" t="s">
        <v>16</v>
      </c>
      <c r="H132">
        <v>3</v>
      </c>
      <c r="I132">
        <v>164</v>
      </c>
      <c r="J132">
        <v>167</v>
      </c>
      <c r="L132" t="s">
        <v>17</v>
      </c>
      <c r="M132" s="3">
        <f t="shared" si="29"/>
        <v>1.425000443123281</v>
      </c>
    </row>
    <row r="133" spans="1:13" x14ac:dyDescent="0.25">
      <c r="A133" t="s">
        <v>261</v>
      </c>
      <c r="B133">
        <v>2</v>
      </c>
      <c r="C133" t="s">
        <v>36</v>
      </c>
      <c r="D133" t="s">
        <v>593</v>
      </c>
      <c r="E133" t="s">
        <v>594</v>
      </c>
      <c r="F133" s="1">
        <v>1.6203703703703704E-5</v>
      </c>
      <c r="G133" t="s">
        <v>16</v>
      </c>
      <c r="H133">
        <v>3</v>
      </c>
      <c r="I133">
        <v>164</v>
      </c>
      <c r="J133">
        <v>167</v>
      </c>
      <c r="L133" t="s">
        <v>17</v>
      </c>
      <c r="M133" s="3">
        <f t="shared" si="29"/>
        <v>1.3959998963400722</v>
      </c>
    </row>
    <row r="134" spans="1:13" x14ac:dyDescent="0.25">
      <c r="A134" t="s">
        <v>261</v>
      </c>
      <c r="B134">
        <v>3</v>
      </c>
      <c r="C134" t="s">
        <v>36</v>
      </c>
      <c r="D134" t="s">
        <v>595</v>
      </c>
      <c r="E134" t="s">
        <v>596</v>
      </c>
      <c r="F134" s="1">
        <v>1.6203703703703704E-5</v>
      </c>
      <c r="G134" t="s">
        <v>16</v>
      </c>
      <c r="H134">
        <v>3</v>
      </c>
      <c r="I134">
        <v>164</v>
      </c>
      <c r="J134">
        <v>167</v>
      </c>
      <c r="L134" t="s">
        <v>17</v>
      </c>
      <c r="M134" s="3">
        <f t="shared" si="29"/>
        <v>1.4399998588487506</v>
      </c>
    </row>
    <row r="135" spans="1:13" x14ac:dyDescent="0.25">
      <c r="A135" t="s">
        <v>261</v>
      </c>
      <c r="B135">
        <v>4</v>
      </c>
      <c r="C135" t="s">
        <v>36</v>
      </c>
      <c r="D135" t="s">
        <v>597</v>
      </c>
      <c r="E135" t="s">
        <v>598</v>
      </c>
      <c r="F135" s="1">
        <v>1.6203703703703704E-5</v>
      </c>
      <c r="G135" t="s">
        <v>16</v>
      </c>
      <c r="H135">
        <v>3</v>
      </c>
      <c r="I135">
        <v>164</v>
      </c>
      <c r="J135">
        <v>167</v>
      </c>
      <c r="L135" t="s">
        <v>17</v>
      </c>
      <c r="M135" s="3">
        <f t="shared" si="29"/>
        <v>1.4209997607395053</v>
      </c>
    </row>
    <row r="136" spans="1:13" x14ac:dyDescent="0.25">
      <c r="A136" t="s">
        <v>261</v>
      </c>
      <c r="B136">
        <v>5</v>
      </c>
      <c r="C136" t="s">
        <v>36</v>
      </c>
      <c r="D136" t="s">
        <v>599</v>
      </c>
      <c r="E136" t="s">
        <v>600</v>
      </c>
      <c r="F136" s="1">
        <v>2.0833333333333333E-5</v>
      </c>
      <c r="G136" t="s">
        <v>16</v>
      </c>
      <c r="H136">
        <v>3</v>
      </c>
      <c r="I136">
        <v>164</v>
      </c>
      <c r="J136">
        <v>167</v>
      </c>
      <c r="L136" t="s">
        <v>17</v>
      </c>
      <c r="M136" s="3">
        <f t="shared" si="29"/>
        <v>1.7730000894516706</v>
      </c>
    </row>
    <row r="137" spans="1:13" x14ac:dyDescent="0.25">
      <c r="A137" t="s">
        <v>261</v>
      </c>
      <c r="B137">
        <v>6</v>
      </c>
      <c r="C137" t="s">
        <v>36</v>
      </c>
      <c r="D137" t="s">
        <v>601</v>
      </c>
      <c r="E137" t="s">
        <v>602</v>
      </c>
      <c r="F137" s="1">
        <v>2.199074074074074E-5</v>
      </c>
      <c r="G137" t="s">
        <v>16</v>
      </c>
      <c r="H137">
        <v>3</v>
      </c>
      <c r="I137">
        <v>164</v>
      </c>
      <c r="J137">
        <v>167</v>
      </c>
      <c r="L137" t="s">
        <v>17</v>
      </c>
      <c r="M137" s="3">
        <f t="shared" si="29"/>
        <v>1.8700002925470471</v>
      </c>
    </row>
    <row r="138" spans="1:13" x14ac:dyDescent="0.25">
      <c r="A138" t="s">
        <v>261</v>
      </c>
      <c r="B138">
        <v>7</v>
      </c>
      <c r="C138" t="s">
        <v>36</v>
      </c>
      <c r="D138" t="s">
        <v>603</v>
      </c>
      <c r="E138" t="s">
        <v>604</v>
      </c>
      <c r="F138" s="1">
        <v>2.4305555555555558E-5</v>
      </c>
      <c r="G138" t="s">
        <v>16</v>
      </c>
      <c r="H138">
        <v>3</v>
      </c>
      <c r="I138">
        <v>164</v>
      </c>
      <c r="J138">
        <v>167</v>
      </c>
      <c r="L138" t="s">
        <v>17</v>
      </c>
      <c r="M138" s="3">
        <f t="shared" si="29"/>
        <v>2.1099997451528907</v>
      </c>
    </row>
    <row r="139" spans="1:13" x14ac:dyDescent="0.25">
      <c r="A139" t="s">
        <v>261</v>
      </c>
      <c r="B139">
        <v>8</v>
      </c>
      <c r="C139" t="s">
        <v>36</v>
      </c>
      <c r="D139" t="s">
        <v>605</v>
      </c>
      <c r="E139" t="s">
        <v>606</v>
      </c>
      <c r="F139" s="1">
        <v>1.6203703703703704E-5</v>
      </c>
      <c r="G139" t="s">
        <v>16</v>
      </c>
      <c r="H139">
        <v>3</v>
      </c>
      <c r="I139">
        <v>164</v>
      </c>
      <c r="J139">
        <v>167</v>
      </c>
      <c r="L139" t="s">
        <v>17</v>
      </c>
      <c r="M139" s="3">
        <f t="shared" si="29"/>
        <v>1.3600000413134694</v>
      </c>
    </row>
    <row r="140" spans="1:13" x14ac:dyDescent="0.25">
      <c r="A140" t="s">
        <v>261</v>
      </c>
      <c r="B140">
        <v>9</v>
      </c>
      <c r="C140" t="s">
        <v>36</v>
      </c>
      <c r="D140" t="s">
        <v>607</v>
      </c>
      <c r="E140" t="s">
        <v>608</v>
      </c>
      <c r="F140" s="1">
        <v>1.5046296296296297E-5</v>
      </c>
      <c r="G140" t="s">
        <v>16</v>
      </c>
      <c r="H140">
        <v>3</v>
      </c>
      <c r="I140">
        <v>164</v>
      </c>
      <c r="J140">
        <v>167</v>
      </c>
      <c r="L140" t="s">
        <v>17</v>
      </c>
      <c r="M140" s="3">
        <f t="shared" si="29"/>
        <v>1.2830001069232821</v>
      </c>
    </row>
    <row r="141" spans="1:13" x14ac:dyDescent="0.25">
      <c r="A141" t="s">
        <v>261</v>
      </c>
      <c r="B141">
        <v>10</v>
      </c>
      <c r="C141" t="s">
        <v>36</v>
      </c>
      <c r="D141" t="s">
        <v>609</v>
      </c>
      <c r="E141" t="s">
        <v>610</v>
      </c>
      <c r="F141" s="1">
        <v>1.3888888888888888E-5</v>
      </c>
      <c r="G141" t="s">
        <v>16</v>
      </c>
      <c r="H141">
        <v>3</v>
      </c>
      <c r="I141">
        <v>164</v>
      </c>
      <c r="J141">
        <v>167</v>
      </c>
      <c r="L141" t="s">
        <v>17</v>
      </c>
      <c r="M141" s="3">
        <f t="shared" si="29"/>
        <v>1.1879996163770556</v>
      </c>
    </row>
    <row r="142" spans="1:13" x14ac:dyDescent="0.25">
      <c r="A142" t="s">
        <v>261</v>
      </c>
      <c r="B142">
        <v>1</v>
      </c>
      <c r="C142" t="s">
        <v>57</v>
      </c>
      <c r="D142" t="s">
        <v>611</v>
      </c>
      <c r="E142" t="s">
        <v>612</v>
      </c>
      <c r="F142" s="1">
        <v>3.2407407407407408E-5</v>
      </c>
      <c r="G142" t="s">
        <v>16</v>
      </c>
      <c r="H142">
        <v>3</v>
      </c>
      <c r="I142">
        <v>125</v>
      </c>
      <c r="J142">
        <v>128</v>
      </c>
      <c r="L142" t="s">
        <v>17</v>
      </c>
      <c r="M142" s="3">
        <f t="shared" si="29"/>
        <v>2.8479999164119363</v>
      </c>
    </row>
    <row r="143" spans="1:13" x14ac:dyDescent="0.25">
      <c r="A143" t="s">
        <v>261</v>
      </c>
      <c r="B143">
        <v>2</v>
      </c>
      <c r="C143" t="s">
        <v>57</v>
      </c>
      <c r="D143" t="s">
        <v>613</v>
      </c>
      <c r="E143" t="s">
        <v>614</v>
      </c>
      <c r="F143" s="1">
        <v>2.0833333333333333E-5</v>
      </c>
      <c r="G143" t="s">
        <v>16</v>
      </c>
      <c r="H143">
        <v>3</v>
      </c>
      <c r="I143">
        <v>125</v>
      </c>
      <c r="J143">
        <v>128</v>
      </c>
      <c r="L143" t="s">
        <v>17</v>
      </c>
      <c r="M143" s="3">
        <f t="shared" si="29"/>
        <v>1.8140001688152552</v>
      </c>
    </row>
    <row r="144" spans="1:13" x14ac:dyDescent="0.25">
      <c r="A144" t="s">
        <v>261</v>
      </c>
      <c r="B144">
        <v>3</v>
      </c>
      <c r="C144" t="s">
        <v>57</v>
      </c>
      <c r="D144" t="s">
        <v>615</v>
      </c>
      <c r="E144" t="s">
        <v>616</v>
      </c>
      <c r="F144" s="1">
        <v>3.7037037037037037E-5</v>
      </c>
      <c r="G144" t="s">
        <v>16</v>
      </c>
      <c r="H144">
        <v>3</v>
      </c>
      <c r="I144">
        <v>125</v>
      </c>
      <c r="J144">
        <v>128</v>
      </c>
      <c r="L144" t="s">
        <v>17</v>
      </c>
      <c r="M144" s="3">
        <f t="shared" si="29"/>
        <v>3.164999932050705</v>
      </c>
    </row>
    <row r="145" spans="1:13" x14ac:dyDescent="0.25">
      <c r="A145" t="s">
        <v>261</v>
      </c>
      <c r="B145">
        <v>4</v>
      </c>
      <c r="C145" t="s">
        <v>57</v>
      </c>
      <c r="D145" t="s">
        <v>617</v>
      </c>
      <c r="E145" t="s">
        <v>618</v>
      </c>
      <c r="F145" s="1">
        <v>4.2824074074074079E-5</v>
      </c>
      <c r="G145" t="s">
        <v>16</v>
      </c>
      <c r="H145">
        <v>3</v>
      </c>
      <c r="I145">
        <v>125</v>
      </c>
      <c r="J145">
        <v>128</v>
      </c>
      <c r="L145" t="s">
        <v>17</v>
      </c>
      <c r="M145" s="3">
        <f t="shared" si="29"/>
        <v>3.697999706491828</v>
      </c>
    </row>
    <row r="146" spans="1:13" x14ac:dyDescent="0.25">
      <c r="A146" t="s">
        <v>261</v>
      </c>
      <c r="B146">
        <v>5</v>
      </c>
      <c r="C146" t="s">
        <v>57</v>
      </c>
      <c r="D146" t="s">
        <v>619</v>
      </c>
      <c r="E146" t="s">
        <v>620</v>
      </c>
      <c r="F146" s="1">
        <v>2.0833333333333333E-5</v>
      </c>
      <c r="G146" t="s">
        <v>16</v>
      </c>
      <c r="H146">
        <v>3</v>
      </c>
      <c r="I146">
        <v>125</v>
      </c>
      <c r="J146">
        <v>128</v>
      </c>
      <c r="L146" t="s">
        <v>17</v>
      </c>
      <c r="M146" s="3">
        <f t="shared" si="29"/>
        <v>1.764999981969595</v>
      </c>
    </row>
    <row r="147" spans="1:13" x14ac:dyDescent="0.25">
      <c r="A147" t="s">
        <v>261</v>
      </c>
      <c r="B147">
        <v>6</v>
      </c>
      <c r="C147" t="s">
        <v>57</v>
      </c>
      <c r="D147" t="s">
        <v>621</v>
      </c>
      <c r="E147" t="s">
        <v>622</v>
      </c>
      <c r="F147" s="1">
        <v>2.199074074074074E-5</v>
      </c>
      <c r="G147" t="s">
        <v>16</v>
      </c>
      <c r="H147">
        <v>3</v>
      </c>
      <c r="I147">
        <v>125</v>
      </c>
      <c r="J147">
        <v>128</v>
      </c>
      <c r="L147" t="s">
        <v>17</v>
      </c>
      <c r="M147" s="3">
        <f t="shared" si="29"/>
        <v>1.8710004631429911</v>
      </c>
    </row>
    <row r="148" spans="1:13" x14ac:dyDescent="0.25">
      <c r="A148" t="s">
        <v>261</v>
      </c>
      <c r="B148">
        <v>7</v>
      </c>
      <c r="C148" t="s">
        <v>57</v>
      </c>
      <c r="D148" t="s">
        <v>623</v>
      </c>
      <c r="E148" t="s">
        <v>624</v>
      </c>
      <c r="F148" s="1">
        <v>1.9675925925925925E-5</v>
      </c>
      <c r="G148" t="s">
        <v>16</v>
      </c>
      <c r="H148">
        <v>3</v>
      </c>
      <c r="I148">
        <v>125</v>
      </c>
      <c r="J148">
        <v>128</v>
      </c>
      <c r="L148" t="s">
        <v>17</v>
      </c>
      <c r="M148" s="3">
        <f t="shared" si="29"/>
        <v>1.7409996595233679</v>
      </c>
    </row>
    <row r="149" spans="1:13" x14ac:dyDescent="0.25">
      <c r="A149" t="s">
        <v>261</v>
      </c>
      <c r="B149">
        <v>8</v>
      </c>
      <c r="C149" t="s">
        <v>57</v>
      </c>
      <c r="D149" t="s">
        <v>625</v>
      </c>
      <c r="E149" t="s">
        <v>626</v>
      </c>
      <c r="F149" s="1">
        <v>1.6203703703703704E-5</v>
      </c>
      <c r="G149" t="s">
        <v>16</v>
      </c>
      <c r="H149">
        <v>3</v>
      </c>
      <c r="I149">
        <v>125</v>
      </c>
      <c r="J149">
        <v>128</v>
      </c>
      <c r="L149" t="s">
        <v>17</v>
      </c>
      <c r="M149" s="3">
        <f t="shared" si="29"/>
        <v>1.4020002912729979</v>
      </c>
    </row>
    <row r="150" spans="1:13" x14ac:dyDescent="0.25">
      <c r="A150" t="s">
        <v>261</v>
      </c>
      <c r="B150">
        <v>9</v>
      </c>
      <c r="C150" t="s">
        <v>57</v>
      </c>
      <c r="D150" t="s">
        <v>627</v>
      </c>
      <c r="E150" t="s">
        <v>628</v>
      </c>
      <c r="F150" s="1">
        <v>1.3888888888888888E-5</v>
      </c>
      <c r="G150" t="s">
        <v>16</v>
      </c>
      <c r="H150">
        <v>3</v>
      </c>
      <c r="I150">
        <v>125</v>
      </c>
      <c r="J150">
        <v>128</v>
      </c>
      <c r="L150" t="s">
        <v>17</v>
      </c>
      <c r="M150" s="3">
        <f t="shared" si="29"/>
        <v>1.1950001819059253</v>
      </c>
    </row>
    <row r="151" spans="1:13" x14ac:dyDescent="0.25">
      <c r="A151" t="s">
        <v>261</v>
      </c>
      <c r="B151">
        <v>10</v>
      </c>
      <c r="C151" t="s">
        <v>57</v>
      </c>
      <c r="D151" t="s">
        <v>629</v>
      </c>
      <c r="E151" t="s">
        <v>630</v>
      </c>
      <c r="F151" s="1">
        <v>2.0833333333333333E-5</v>
      </c>
      <c r="G151" t="s">
        <v>16</v>
      </c>
      <c r="H151">
        <v>3</v>
      </c>
      <c r="I151">
        <v>125</v>
      </c>
      <c r="J151">
        <v>128</v>
      </c>
      <c r="L151" t="s">
        <v>17</v>
      </c>
      <c r="M151" s="3">
        <f t="shared" si="29"/>
        <v>1.8159998813644052</v>
      </c>
    </row>
    <row r="152" spans="1:13" x14ac:dyDescent="0.25">
      <c r="A152" t="s">
        <v>12</v>
      </c>
      <c r="B152">
        <v>1</v>
      </c>
      <c r="C152" t="s">
        <v>13</v>
      </c>
      <c r="D152" t="s">
        <v>14</v>
      </c>
      <c r="E152" t="s">
        <v>15</v>
      </c>
      <c r="F152" s="1">
        <v>1.5046296296296297E-5</v>
      </c>
      <c r="G152" t="s">
        <v>16</v>
      </c>
      <c r="H152">
        <v>5</v>
      </c>
      <c r="I152">
        <v>81</v>
      </c>
      <c r="J152">
        <v>86</v>
      </c>
      <c r="L152" t="s">
        <v>17</v>
      </c>
      <c r="M152" s="3">
        <f t="shared" si="29"/>
        <v>1.2640000088140368</v>
      </c>
    </row>
    <row r="153" spans="1:13" x14ac:dyDescent="0.25">
      <c r="A153" t="s">
        <v>12</v>
      </c>
      <c r="B153">
        <v>2</v>
      </c>
      <c r="C153" t="s">
        <v>13</v>
      </c>
      <c r="D153" t="s">
        <v>18</v>
      </c>
      <c r="E153" t="s">
        <v>19</v>
      </c>
      <c r="F153" s="1">
        <v>1.8518518518518518E-5</v>
      </c>
      <c r="G153" t="s">
        <v>16</v>
      </c>
      <c r="H153">
        <v>5</v>
      </c>
      <c r="I153">
        <v>81</v>
      </c>
      <c r="J153">
        <v>86</v>
      </c>
      <c r="L153" t="s">
        <v>17</v>
      </c>
      <c r="M153" s="3">
        <f t="shared" si="29"/>
        <v>1.0609999531880021</v>
      </c>
    </row>
    <row r="154" spans="1:13" x14ac:dyDescent="0.25">
      <c r="A154" t="s">
        <v>12</v>
      </c>
      <c r="B154">
        <v>3</v>
      </c>
      <c r="C154" t="s">
        <v>13</v>
      </c>
      <c r="D154" t="s">
        <v>20</v>
      </c>
      <c r="E154" t="s">
        <v>21</v>
      </c>
      <c r="F154" s="1">
        <v>1.7361111111111111E-5</v>
      </c>
      <c r="G154" t="s">
        <v>16</v>
      </c>
      <c r="H154">
        <v>5</v>
      </c>
      <c r="I154">
        <v>81</v>
      </c>
      <c r="J154">
        <v>86</v>
      </c>
      <c r="L154" t="s">
        <v>17</v>
      </c>
      <c r="M154" s="3">
        <f t="shared" si="29"/>
        <v>1.0499999625608325</v>
      </c>
    </row>
    <row r="155" spans="1:13" x14ac:dyDescent="0.25">
      <c r="A155" t="s">
        <v>12</v>
      </c>
      <c r="B155">
        <v>4</v>
      </c>
      <c r="C155" t="s">
        <v>13</v>
      </c>
      <c r="D155" t="s">
        <v>22</v>
      </c>
      <c r="E155" t="s">
        <v>23</v>
      </c>
      <c r="F155" s="1">
        <v>1.9675925925925925E-5</v>
      </c>
      <c r="G155" t="s">
        <v>16</v>
      </c>
      <c r="H155">
        <v>5</v>
      </c>
      <c r="I155">
        <v>81</v>
      </c>
      <c r="J155">
        <v>86</v>
      </c>
      <c r="L155" t="s">
        <v>17</v>
      </c>
      <c r="M155" s="3">
        <f t="shared" si="29"/>
        <v>1.0069995420053601</v>
      </c>
    </row>
    <row r="156" spans="1:13" x14ac:dyDescent="0.25">
      <c r="A156" t="s">
        <v>12</v>
      </c>
      <c r="B156">
        <v>5</v>
      </c>
      <c r="C156" t="s">
        <v>13</v>
      </c>
      <c r="D156" t="s">
        <v>24</v>
      </c>
      <c r="E156" t="s">
        <v>25</v>
      </c>
      <c r="F156" s="1">
        <v>1.5046296296296297E-5</v>
      </c>
      <c r="G156" t="s">
        <v>16</v>
      </c>
      <c r="H156">
        <v>5</v>
      </c>
      <c r="I156">
        <v>81</v>
      </c>
      <c r="J156">
        <v>86</v>
      </c>
      <c r="L156" t="s">
        <v>17</v>
      </c>
      <c r="M156" s="3">
        <f t="shared" si="29"/>
        <v>1.0310004930943251</v>
      </c>
    </row>
    <row r="157" spans="1:13" x14ac:dyDescent="0.25">
      <c r="A157" t="s">
        <v>12</v>
      </c>
      <c r="B157">
        <v>6</v>
      </c>
      <c r="C157" t="s">
        <v>13</v>
      </c>
      <c r="D157" t="s">
        <v>26</v>
      </c>
      <c r="E157" t="s">
        <v>27</v>
      </c>
      <c r="F157" s="1">
        <v>1.2731481481481482E-5</v>
      </c>
      <c r="G157" t="s">
        <v>16</v>
      </c>
      <c r="H157">
        <v>5</v>
      </c>
      <c r="I157">
        <v>81</v>
      </c>
      <c r="J157">
        <v>86</v>
      </c>
      <c r="L157" t="s">
        <v>17</v>
      </c>
      <c r="M157" s="3">
        <f t="shared" si="29"/>
        <v>1.0120003949850798</v>
      </c>
    </row>
    <row r="158" spans="1:13" x14ac:dyDescent="0.25">
      <c r="A158" t="s">
        <v>12</v>
      </c>
      <c r="B158">
        <v>7</v>
      </c>
      <c r="C158" t="s">
        <v>13</v>
      </c>
      <c r="D158" t="s">
        <v>28</v>
      </c>
      <c r="E158" t="s">
        <v>29</v>
      </c>
      <c r="F158" s="1">
        <v>1.7361111111111111E-5</v>
      </c>
      <c r="G158" t="s">
        <v>16</v>
      </c>
      <c r="H158">
        <v>5</v>
      </c>
      <c r="I158">
        <v>81</v>
      </c>
      <c r="J158">
        <v>86</v>
      </c>
      <c r="L158" t="s">
        <v>17</v>
      </c>
      <c r="M158" s="3">
        <f t="shared" si="29"/>
        <v>1.0499999625608325</v>
      </c>
    </row>
    <row r="159" spans="1:13" x14ac:dyDescent="0.25">
      <c r="A159" t="s">
        <v>12</v>
      </c>
      <c r="B159">
        <v>8</v>
      </c>
      <c r="C159" t="s">
        <v>13</v>
      </c>
      <c r="D159" t="s">
        <v>30</v>
      </c>
      <c r="E159" t="s">
        <v>31</v>
      </c>
      <c r="F159" s="1">
        <v>1.1574074074074073E-5</v>
      </c>
      <c r="G159" t="s">
        <v>16</v>
      </c>
      <c r="H159">
        <v>5</v>
      </c>
      <c r="I159">
        <v>81</v>
      </c>
      <c r="J159">
        <v>86</v>
      </c>
      <c r="L159" t="s">
        <v>17</v>
      </c>
      <c r="M159" s="3">
        <f t="shared" si="29"/>
        <v>0.99800052121281624</v>
      </c>
    </row>
    <row r="160" spans="1:13" x14ac:dyDescent="0.25">
      <c r="A160" t="s">
        <v>12</v>
      </c>
      <c r="B160">
        <v>9</v>
      </c>
      <c r="C160" t="s">
        <v>13</v>
      </c>
      <c r="D160" t="s">
        <v>32</v>
      </c>
      <c r="E160" t="s">
        <v>33</v>
      </c>
      <c r="F160" s="1">
        <v>1.6203703703703704E-5</v>
      </c>
      <c r="G160" t="s">
        <v>16</v>
      </c>
      <c r="H160">
        <v>5</v>
      </c>
      <c r="I160">
        <v>81</v>
      </c>
      <c r="J160">
        <v>86</v>
      </c>
      <c r="L160" t="s">
        <v>17</v>
      </c>
      <c r="M160" s="3">
        <f t="shared" si="29"/>
        <v>1.0400001425296068</v>
      </c>
    </row>
    <row r="161" spans="1:13" x14ac:dyDescent="0.25">
      <c r="A161" t="s">
        <v>12</v>
      </c>
      <c r="B161">
        <v>10</v>
      </c>
      <c r="C161" t="s">
        <v>13</v>
      </c>
      <c r="D161" t="s">
        <v>34</v>
      </c>
      <c r="E161" t="s">
        <v>35</v>
      </c>
      <c r="F161" s="1">
        <v>1.7361111111111111E-5</v>
      </c>
      <c r="G161" t="s">
        <v>16</v>
      </c>
      <c r="H161">
        <v>5</v>
      </c>
      <c r="I161">
        <v>81</v>
      </c>
      <c r="J161">
        <v>86</v>
      </c>
      <c r="L161" t="s">
        <v>17</v>
      </c>
      <c r="M161" s="3">
        <f t="shared" si="29"/>
        <v>1.0540000163018703</v>
      </c>
    </row>
    <row r="162" spans="1:13" x14ac:dyDescent="0.25">
      <c r="A162" t="s">
        <v>12</v>
      </c>
      <c r="B162">
        <v>1</v>
      </c>
      <c r="C162" t="s">
        <v>36</v>
      </c>
      <c r="D162" t="s">
        <v>37</v>
      </c>
      <c r="E162" t="s">
        <v>38</v>
      </c>
      <c r="F162" s="1">
        <v>1.5046296296296297E-5</v>
      </c>
      <c r="G162" t="s">
        <v>16</v>
      </c>
      <c r="H162">
        <v>5</v>
      </c>
      <c r="I162">
        <v>173</v>
      </c>
      <c r="J162">
        <v>178</v>
      </c>
      <c r="L162" t="s">
        <v>17</v>
      </c>
      <c r="M162" s="3">
        <f t="shared" si="29"/>
        <v>1.3239995576441288</v>
      </c>
    </row>
    <row r="163" spans="1:13" x14ac:dyDescent="0.25">
      <c r="A163" t="s">
        <v>12</v>
      </c>
      <c r="B163">
        <v>2</v>
      </c>
      <c r="C163" t="s">
        <v>36</v>
      </c>
      <c r="D163" t="s">
        <v>39</v>
      </c>
      <c r="E163" t="s">
        <v>40</v>
      </c>
      <c r="F163" s="1">
        <v>1.2731481481481482E-5</v>
      </c>
      <c r="G163" t="s">
        <v>16</v>
      </c>
      <c r="H163">
        <v>5</v>
      </c>
      <c r="I163">
        <v>173</v>
      </c>
      <c r="J163">
        <v>178</v>
      </c>
      <c r="L163" t="s">
        <v>17</v>
      </c>
      <c r="M163" s="3">
        <f t="shared" si="29"/>
        <v>1.121999672614038</v>
      </c>
    </row>
    <row r="164" spans="1:13" x14ac:dyDescent="0.25">
      <c r="A164" t="s">
        <v>12</v>
      </c>
      <c r="B164">
        <v>3</v>
      </c>
      <c r="C164" t="s">
        <v>36</v>
      </c>
      <c r="D164" t="s">
        <v>41</v>
      </c>
      <c r="E164" t="s">
        <v>42</v>
      </c>
      <c r="F164" s="1">
        <v>2.3148148148148147E-5</v>
      </c>
      <c r="G164" t="s">
        <v>16</v>
      </c>
      <c r="H164">
        <v>5</v>
      </c>
      <c r="I164">
        <v>173</v>
      </c>
      <c r="J164">
        <v>178</v>
      </c>
      <c r="L164" t="s">
        <v>17</v>
      </c>
      <c r="M164" s="3">
        <f t="shared" si="29"/>
        <v>1.0989995207637548</v>
      </c>
    </row>
    <row r="165" spans="1:13" x14ac:dyDescent="0.25">
      <c r="A165" t="s">
        <v>12</v>
      </c>
      <c r="B165">
        <v>4</v>
      </c>
      <c r="C165" t="s">
        <v>36</v>
      </c>
      <c r="D165" t="s">
        <v>43</v>
      </c>
      <c r="E165" t="s">
        <v>44</v>
      </c>
      <c r="F165" s="1">
        <v>1.2731481481481482E-5</v>
      </c>
      <c r="G165" t="s">
        <v>16</v>
      </c>
      <c r="H165">
        <v>5</v>
      </c>
      <c r="I165">
        <v>173</v>
      </c>
      <c r="J165">
        <v>178</v>
      </c>
      <c r="L165" t="s">
        <v>17</v>
      </c>
      <c r="M165" s="3">
        <f t="shared" si="29"/>
        <v>1.1250001844018698</v>
      </c>
    </row>
    <row r="166" spans="1:13" x14ac:dyDescent="0.25">
      <c r="A166" t="s">
        <v>12</v>
      </c>
      <c r="B166">
        <v>5</v>
      </c>
      <c r="C166" t="s">
        <v>36</v>
      </c>
      <c r="D166" t="s">
        <v>45</v>
      </c>
      <c r="E166" t="s">
        <v>46</v>
      </c>
      <c r="F166" s="1">
        <v>2.199074074074074E-5</v>
      </c>
      <c r="G166" t="s">
        <v>16</v>
      </c>
      <c r="H166">
        <v>5</v>
      </c>
      <c r="I166">
        <v>173</v>
      </c>
      <c r="J166">
        <v>178</v>
      </c>
      <c r="L166" t="s">
        <v>17</v>
      </c>
      <c r="M166" s="3">
        <f t="shared" si="29"/>
        <v>1.092999754473567</v>
      </c>
    </row>
    <row r="167" spans="1:13" x14ac:dyDescent="0.25">
      <c r="A167" t="s">
        <v>12</v>
      </c>
      <c r="B167">
        <v>6</v>
      </c>
      <c r="C167" t="s">
        <v>36</v>
      </c>
      <c r="D167" t="s">
        <v>47</v>
      </c>
      <c r="E167" t="s">
        <v>48</v>
      </c>
      <c r="F167" s="1">
        <v>1.5046296296296297E-5</v>
      </c>
      <c r="G167" t="s">
        <v>16</v>
      </c>
      <c r="H167">
        <v>5</v>
      </c>
      <c r="I167">
        <v>173</v>
      </c>
      <c r="J167">
        <v>178</v>
      </c>
      <c r="L167" t="s">
        <v>17</v>
      </c>
      <c r="M167" s="3">
        <f t="shared" si="29"/>
        <v>1.2690002331510186</v>
      </c>
    </row>
    <row r="168" spans="1:13" x14ac:dyDescent="0.25">
      <c r="A168" t="s">
        <v>12</v>
      </c>
      <c r="B168">
        <v>7</v>
      </c>
      <c r="C168" t="s">
        <v>36</v>
      </c>
      <c r="D168" t="s">
        <v>49</v>
      </c>
      <c r="E168" t="s">
        <v>50</v>
      </c>
      <c r="F168" s="1">
        <v>1.8518518518518518E-5</v>
      </c>
      <c r="G168" t="s">
        <v>16</v>
      </c>
      <c r="H168">
        <v>5</v>
      </c>
      <c r="I168">
        <v>173</v>
      </c>
      <c r="J168">
        <v>178</v>
      </c>
      <c r="L168" t="s">
        <v>17</v>
      </c>
      <c r="M168" s="3">
        <f t="shared" si="29"/>
        <v>1.0619994951412082</v>
      </c>
    </row>
    <row r="169" spans="1:13" x14ac:dyDescent="0.25">
      <c r="A169" t="s">
        <v>12</v>
      </c>
      <c r="B169">
        <v>8</v>
      </c>
      <c r="C169" t="s">
        <v>36</v>
      </c>
      <c r="D169" t="s">
        <v>51</v>
      </c>
      <c r="E169" t="s">
        <v>52</v>
      </c>
      <c r="F169" s="1">
        <v>1.9675925925925925E-5</v>
      </c>
      <c r="G169" t="s">
        <v>16</v>
      </c>
      <c r="H169">
        <v>5</v>
      </c>
      <c r="I169">
        <v>173</v>
      </c>
      <c r="J169">
        <v>178</v>
      </c>
      <c r="L169" t="s">
        <v>17</v>
      </c>
      <c r="M169" s="3">
        <f t="shared" si="29"/>
        <v>1.06500000692904</v>
      </c>
    </row>
    <row r="170" spans="1:13" x14ac:dyDescent="0.25">
      <c r="A170" t="s">
        <v>12</v>
      </c>
      <c r="B170">
        <v>9</v>
      </c>
      <c r="C170" t="s">
        <v>36</v>
      </c>
      <c r="D170" t="s">
        <v>53</v>
      </c>
      <c r="E170" t="s">
        <v>54</v>
      </c>
      <c r="F170" s="1">
        <v>1.8518518518518518E-5</v>
      </c>
      <c r="G170" t="s">
        <v>16</v>
      </c>
      <c r="H170">
        <v>5</v>
      </c>
      <c r="I170">
        <v>173</v>
      </c>
      <c r="J170">
        <v>178</v>
      </c>
      <c r="L170" t="s">
        <v>17</v>
      </c>
      <c r="M170" s="3">
        <f t="shared" si="29"/>
        <v>1.0609999531880021</v>
      </c>
    </row>
    <row r="171" spans="1:13" x14ac:dyDescent="0.25">
      <c r="A171" t="s">
        <v>12</v>
      </c>
      <c r="B171">
        <v>10</v>
      </c>
      <c r="C171" t="s">
        <v>36</v>
      </c>
      <c r="D171" t="s">
        <v>55</v>
      </c>
      <c r="E171" t="s">
        <v>56</v>
      </c>
      <c r="F171" s="1">
        <v>1.5046296296296297E-5</v>
      </c>
      <c r="G171" t="s">
        <v>16</v>
      </c>
      <c r="H171">
        <v>5</v>
      </c>
      <c r="I171">
        <v>173</v>
      </c>
      <c r="J171">
        <v>178</v>
      </c>
      <c r="L171" t="s">
        <v>17</v>
      </c>
      <c r="M171" s="3">
        <f t="shared" si="29"/>
        <v>1.2540001887828112</v>
      </c>
    </row>
    <row r="172" spans="1:13" x14ac:dyDescent="0.25">
      <c r="A172" t="s">
        <v>12</v>
      </c>
      <c r="B172">
        <v>1</v>
      </c>
      <c r="C172" t="s">
        <v>57</v>
      </c>
      <c r="D172" t="s">
        <v>58</v>
      </c>
      <c r="E172" t="s">
        <v>59</v>
      </c>
      <c r="F172" s="1">
        <v>1.2731481481481482E-5</v>
      </c>
      <c r="G172" t="s">
        <v>16</v>
      </c>
      <c r="H172">
        <v>5</v>
      </c>
      <c r="I172">
        <v>108</v>
      </c>
      <c r="J172">
        <v>113</v>
      </c>
      <c r="L172" t="s">
        <v>17</v>
      </c>
      <c r="M172" s="3">
        <f t="shared" si="29"/>
        <v>1.1210001306608319</v>
      </c>
    </row>
    <row r="173" spans="1:13" x14ac:dyDescent="0.25">
      <c r="A173" t="s">
        <v>12</v>
      </c>
      <c r="B173">
        <v>2</v>
      </c>
      <c r="C173" t="s">
        <v>57</v>
      </c>
      <c r="D173" t="s">
        <v>60</v>
      </c>
      <c r="E173" t="s">
        <v>61</v>
      </c>
      <c r="F173" s="1">
        <v>1.2731481481481482E-5</v>
      </c>
      <c r="G173" t="s">
        <v>16</v>
      </c>
      <c r="H173">
        <v>5</v>
      </c>
      <c r="I173">
        <v>108</v>
      </c>
      <c r="J173">
        <v>113</v>
      </c>
      <c r="L173" t="s">
        <v>17</v>
      </c>
      <c r="M173" s="3">
        <f t="shared" si="29"/>
        <v>1.1309999506920576</v>
      </c>
    </row>
    <row r="174" spans="1:13" x14ac:dyDescent="0.25">
      <c r="A174" t="s">
        <v>12</v>
      </c>
      <c r="B174">
        <v>3</v>
      </c>
      <c r="C174" t="s">
        <v>57</v>
      </c>
      <c r="D174" t="s">
        <v>62</v>
      </c>
      <c r="E174" t="s">
        <v>63</v>
      </c>
      <c r="F174" s="1">
        <v>1.6203703703703704E-5</v>
      </c>
      <c r="G174" t="s">
        <v>16</v>
      </c>
      <c r="H174">
        <v>5</v>
      </c>
      <c r="I174">
        <v>108</v>
      </c>
      <c r="J174">
        <v>113</v>
      </c>
      <c r="L174" t="s">
        <v>17</v>
      </c>
      <c r="M174" s="3">
        <f t="shared" si="29"/>
        <v>1.0370002593845129</v>
      </c>
    </row>
    <row r="175" spans="1:13" x14ac:dyDescent="0.25">
      <c r="A175" t="s">
        <v>12</v>
      </c>
      <c r="B175">
        <v>4</v>
      </c>
      <c r="C175" t="s">
        <v>57</v>
      </c>
      <c r="D175" t="s">
        <v>64</v>
      </c>
      <c r="E175" t="s">
        <v>65</v>
      </c>
      <c r="F175" s="1">
        <v>1.7361111111111111E-5</v>
      </c>
      <c r="G175" t="s">
        <v>16</v>
      </c>
      <c r="H175">
        <v>5</v>
      </c>
      <c r="I175">
        <v>108</v>
      </c>
      <c r="J175">
        <v>113</v>
      </c>
      <c r="L175" t="s">
        <v>17</v>
      </c>
      <c r="M175" s="3">
        <f t="shared" si="29"/>
        <v>1.5200003050267696</v>
      </c>
    </row>
    <row r="176" spans="1:13" x14ac:dyDescent="0.25">
      <c r="A176" t="s">
        <v>12</v>
      </c>
      <c r="B176">
        <v>5</v>
      </c>
      <c r="C176" t="s">
        <v>57</v>
      </c>
      <c r="D176" t="s">
        <v>66</v>
      </c>
      <c r="E176" t="s">
        <v>67</v>
      </c>
      <c r="F176" s="1">
        <v>2.0833333333333333E-5</v>
      </c>
      <c r="G176" t="s">
        <v>16</v>
      </c>
      <c r="H176">
        <v>5</v>
      </c>
      <c r="I176">
        <v>108</v>
      </c>
      <c r="J176">
        <v>113</v>
      </c>
      <c r="L176" t="s">
        <v>17</v>
      </c>
      <c r="M176" s="3">
        <f t="shared" si="29"/>
        <v>1.0809995932504535</v>
      </c>
    </row>
    <row r="177" spans="1:13" x14ac:dyDescent="0.25">
      <c r="A177" t="s">
        <v>12</v>
      </c>
      <c r="B177">
        <v>6</v>
      </c>
      <c r="C177" t="s">
        <v>57</v>
      </c>
      <c r="D177" t="s">
        <v>68</v>
      </c>
      <c r="E177" t="s">
        <v>69</v>
      </c>
      <c r="F177" s="1">
        <v>1.7361111111111111E-5</v>
      </c>
      <c r="G177" t="s">
        <v>16</v>
      </c>
      <c r="H177">
        <v>5</v>
      </c>
      <c r="I177">
        <v>108</v>
      </c>
      <c r="J177">
        <v>113</v>
      </c>
      <c r="L177" t="s">
        <v>17</v>
      </c>
      <c r="M177" s="3">
        <f t="shared" si="29"/>
        <v>1.0480002500116825</v>
      </c>
    </row>
    <row r="178" spans="1:13" x14ac:dyDescent="0.25">
      <c r="A178" t="s">
        <v>12</v>
      </c>
      <c r="B178">
        <v>7</v>
      </c>
      <c r="C178" t="s">
        <v>57</v>
      </c>
      <c r="D178" t="s">
        <v>70</v>
      </c>
      <c r="E178" t="s">
        <v>71</v>
      </c>
      <c r="F178" s="1">
        <v>1.2731481481481482E-5</v>
      </c>
      <c r="G178" t="s">
        <v>16</v>
      </c>
      <c r="H178">
        <v>5</v>
      </c>
      <c r="I178">
        <v>108</v>
      </c>
      <c r="J178">
        <v>113</v>
      </c>
      <c r="L178" t="s">
        <v>17</v>
      </c>
      <c r="M178" s="3">
        <f t="shared" si="29"/>
        <v>1.1200005887076259</v>
      </c>
    </row>
    <row r="179" spans="1:13" x14ac:dyDescent="0.25">
      <c r="A179" t="s">
        <v>12</v>
      </c>
      <c r="B179">
        <v>8</v>
      </c>
      <c r="C179" t="s">
        <v>57</v>
      </c>
      <c r="D179" t="s">
        <v>72</v>
      </c>
      <c r="E179" t="s">
        <v>73</v>
      </c>
      <c r="F179" s="1">
        <v>1.9675925925925925E-5</v>
      </c>
      <c r="G179" t="s">
        <v>16</v>
      </c>
      <c r="H179">
        <v>5</v>
      </c>
      <c r="I179">
        <v>108</v>
      </c>
      <c r="J179">
        <v>113</v>
      </c>
      <c r="L179" t="s">
        <v>17</v>
      </c>
      <c r="M179" s="3">
        <f t="shared" si="29"/>
        <v>1.0729994857683778</v>
      </c>
    </row>
    <row r="180" spans="1:13" x14ac:dyDescent="0.25">
      <c r="A180" t="s">
        <v>12</v>
      </c>
      <c r="B180">
        <v>9</v>
      </c>
      <c r="C180" t="s">
        <v>57</v>
      </c>
      <c r="D180" t="s">
        <v>74</v>
      </c>
      <c r="E180" t="s">
        <v>75</v>
      </c>
      <c r="F180" s="1">
        <v>1.6203703703703704E-5</v>
      </c>
      <c r="G180" t="s">
        <v>16</v>
      </c>
      <c r="H180">
        <v>5</v>
      </c>
      <c r="I180">
        <v>108</v>
      </c>
      <c r="J180">
        <v>113</v>
      </c>
      <c r="L180" t="s">
        <v>17</v>
      </c>
      <c r="M180" s="3">
        <f t="shared" si="29"/>
        <v>1.0430000256747007</v>
      </c>
    </row>
    <row r="181" spans="1:13" x14ac:dyDescent="0.25">
      <c r="A181" t="s">
        <v>12</v>
      </c>
      <c r="B181">
        <v>10</v>
      </c>
      <c r="C181" t="s">
        <v>57</v>
      </c>
      <c r="D181" t="s">
        <v>76</v>
      </c>
      <c r="E181" t="s">
        <v>77</v>
      </c>
      <c r="F181" s="1">
        <v>1.6203703703703704E-5</v>
      </c>
      <c r="G181" t="s">
        <v>16</v>
      </c>
      <c r="H181">
        <v>5</v>
      </c>
      <c r="I181">
        <v>108</v>
      </c>
      <c r="J181">
        <v>113</v>
      </c>
      <c r="L181" t="s">
        <v>17</v>
      </c>
      <c r="M181" s="3">
        <f t="shared" si="29"/>
        <v>1.0370002593845129</v>
      </c>
    </row>
    <row r="182" spans="1:13" x14ac:dyDescent="0.25">
      <c r="A182" t="s">
        <v>78</v>
      </c>
      <c r="B182">
        <v>1</v>
      </c>
      <c r="C182" t="s">
        <v>13</v>
      </c>
      <c r="D182" t="s">
        <v>79</v>
      </c>
      <c r="E182" t="s">
        <v>80</v>
      </c>
      <c r="F182" s="1">
        <v>1.7361111111111111E-5</v>
      </c>
      <c r="G182" t="s">
        <v>16</v>
      </c>
      <c r="H182">
        <v>4</v>
      </c>
      <c r="I182">
        <v>74</v>
      </c>
      <c r="J182">
        <v>78</v>
      </c>
      <c r="L182" t="s">
        <v>17</v>
      </c>
      <c r="M182" s="3">
        <f t="shared" si="29"/>
        <v>1.4989998657256365</v>
      </c>
    </row>
    <row r="183" spans="1:13" x14ac:dyDescent="0.25">
      <c r="A183" t="s">
        <v>78</v>
      </c>
      <c r="B183">
        <v>2</v>
      </c>
      <c r="C183" t="s">
        <v>13</v>
      </c>
      <c r="D183" t="s">
        <v>81</v>
      </c>
      <c r="E183" t="s">
        <v>82</v>
      </c>
      <c r="F183" s="1">
        <v>1.6203703703703704E-5</v>
      </c>
      <c r="G183" t="s">
        <v>16</v>
      </c>
      <c r="H183">
        <v>4</v>
      </c>
      <c r="I183">
        <v>74</v>
      </c>
      <c r="J183">
        <v>78</v>
      </c>
      <c r="L183" t="s">
        <v>17</v>
      </c>
      <c r="M183" s="3">
        <f t="shared" si="29"/>
        <v>1.427000155672431</v>
      </c>
    </row>
    <row r="184" spans="1:13" x14ac:dyDescent="0.25">
      <c r="A184" t="s">
        <v>78</v>
      </c>
      <c r="B184">
        <v>3</v>
      </c>
      <c r="C184" t="s">
        <v>13</v>
      </c>
      <c r="D184" t="s">
        <v>83</v>
      </c>
      <c r="E184" t="s">
        <v>84</v>
      </c>
      <c r="F184" s="1">
        <v>1.7361111111111111E-5</v>
      </c>
      <c r="G184" t="s">
        <v>16</v>
      </c>
      <c r="H184">
        <v>4</v>
      </c>
      <c r="I184">
        <v>74</v>
      </c>
      <c r="J184">
        <v>78</v>
      </c>
      <c r="L184" t="s">
        <v>17</v>
      </c>
      <c r="M184" s="3">
        <f t="shared" si="29"/>
        <v>1.51100002694875</v>
      </c>
    </row>
    <row r="185" spans="1:13" x14ac:dyDescent="0.25">
      <c r="A185" t="s">
        <v>78</v>
      </c>
      <c r="B185">
        <v>4</v>
      </c>
      <c r="C185" t="s">
        <v>13</v>
      </c>
      <c r="D185" t="s">
        <v>85</v>
      </c>
      <c r="E185" t="s">
        <v>86</v>
      </c>
      <c r="F185" s="1">
        <v>1.2731481481481482E-5</v>
      </c>
      <c r="G185" t="s">
        <v>16</v>
      </c>
      <c r="H185">
        <v>4</v>
      </c>
      <c r="I185">
        <v>74</v>
      </c>
      <c r="J185">
        <v>78</v>
      </c>
      <c r="L185" t="s">
        <v>17</v>
      </c>
      <c r="M185" s="3">
        <f t="shared" si="29"/>
        <v>1.1140001937747002</v>
      </c>
    </row>
    <row r="186" spans="1:13" x14ac:dyDescent="0.25">
      <c r="A186" t="s">
        <v>78</v>
      </c>
      <c r="B186">
        <v>5</v>
      </c>
      <c r="C186" t="s">
        <v>13</v>
      </c>
      <c r="D186" t="s">
        <v>87</v>
      </c>
      <c r="E186" t="s">
        <v>88</v>
      </c>
      <c r="F186" s="1">
        <v>1.6203703703703704E-5</v>
      </c>
      <c r="G186" t="s">
        <v>16</v>
      </c>
      <c r="H186">
        <v>4</v>
      </c>
      <c r="I186">
        <v>74</v>
      </c>
      <c r="J186">
        <v>78</v>
      </c>
      <c r="L186" t="s">
        <v>17</v>
      </c>
      <c r="M186" s="3">
        <f t="shared" si="29"/>
        <v>1.4160001650452614</v>
      </c>
    </row>
    <row r="187" spans="1:13" x14ac:dyDescent="0.25">
      <c r="A187" t="s">
        <v>78</v>
      </c>
      <c r="B187">
        <v>6</v>
      </c>
      <c r="C187" t="s">
        <v>13</v>
      </c>
      <c r="D187" t="s">
        <v>89</v>
      </c>
      <c r="E187" t="s">
        <v>90</v>
      </c>
      <c r="F187" s="1">
        <v>1.6203703703703704E-5</v>
      </c>
      <c r="G187" t="s">
        <v>16</v>
      </c>
      <c r="H187">
        <v>4</v>
      </c>
      <c r="I187">
        <v>74</v>
      </c>
      <c r="J187">
        <v>78</v>
      </c>
      <c r="L187" t="s">
        <v>17</v>
      </c>
      <c r="M187" s="3">
        <f t="shared" si="29"/>
        <v>1.4439999125897884</v>
      </c>
    </row>
    <row r="188" spans="1:13" x14ac:dyDescent="0.25">
      <c r="A188" t="s">
        <v>78</v>
      </c>
      <c r="B188">
        <v>7</v>
      </c>
      <c r="C188" t="s">
        <v>13</v>
      </c>
      <c r="D188" t="s">
        <v>91</v>
      </c>
      <c r="E188" t="s">
        <v>92</v>
      </c>
      <c r="F188" s="1">
        <v>1.7361111111111111E-5</v>
      </c>
      <c r="G188" t="s">
        <v>16</v>
      </c>
      <c r="H188">
        <v>4</v>
      </c>
      <c r="I188">
        <v>74</v>
      </c>
      <c r="J188">
        <v>78</v>
      </c>
      <c r="L188" t="s">
        <v>17</v>
      </c>
      <c r="M188" s="3">
        <f t="shared" si="29"/>
        <v>1.5150000806897879</v>
      </c>
    </row>
    <row r="189" spans="1:13" x14ac:dyDescent="0.25">
      <c r="A189" t="s">
        <v>78</v>
      </c>
      <c r="B189">
        <v>8</v>
      </c>
      <c r="C189" t="s">
        <v>13</v>
      </c>
      <c r="D189" t="s">
        <v>93</v>
      </c>
      <c r="E189" t="s">
        <v>94</v>
      </c>
      <c r="F189" s="1">
        <v>1.3888888888888888E-5</v>
      </c>
      <c r="G189" t="s">
        <v>16</v>
      </c>
      <c r="H189">
        <v>4</v>
      </c>
      <c r="I189">
        <v>74</v>
      </c>
      <c r="J189">
        <v>78</v>
      </c>
      <c r="L189" t="s">
        <v>17</v>
      </c>
      <c r="M189" s="3">
        <f t="shared" si="29"/>
        <v>1.1960003525018692</v>
      </c>
    </row>
    <row r="190" spans="1:13" x14ac:dyDescent="0.25">
      <c r="A190" t="s">
        <v>78</v>
      </c>
      <c r="B190">
        <v>9</v>
      </c>
      <c r="C190" t="s">
        <v>13</v>
      </c>
      <c r="D190" t="s">
        <v>95</v>
      </c>
      <c r="E190" t="s">
        <v>96</v>
      </c>
      <c r="F190" s="1">
        <v>1.6203703703703704E-5</v>
      </c>
      <c r="G190" t="s">
        <v>16</v>
      </c>
      <c r="H190">
        <v>4</v>
      </c>
      <c r="I190">
        <v>74</v>
      </c>
      <c r="J190">
        <v>78</v>
      </c>
      <c r="L190" t="s">
        <v>17</v>
      </c>
      <c r="M190" s="3">
        <f t="shared" si="29"/>
        <v>1.4490001369267702</v>
      </c>
    </row>
    <row r="191" spans="1:13" x14ac:dyDescent="0.25">
      <c r="A191" t="s">
        <v>78</v>
      </c>
      <c r="B191">
        <v>10</v>
      </c>
      <c r="C191" t="s">
        <v>13</v>
      </c>
      <c r="D191" t="s">
        <v>97</v>
      </c>
      <c r="E191" t="s">
        <v>98</v>
      </c>
      <c r="F191" s="1">
        <v>1.2731481481481482E-5</v>
      </c>
      <c r="G191" t="s">
        <v>16</v>
      </c>
      <c r="H191">
        <v>4</v>
      </c>
      <c r="I191">
        <v>74</v>
      </c>
      <c r="J191">
        <v>78</v>
      </c>
      <c r="L191" t="s">
        <v>17</v>
      </c>
      <c r="M191" s="3">
        <f t="shared" si="29"/>
        <v>1.0999996913596988</v>
      </c>
    </row>
    <row r="192" spans="1:13" x14ac:dyDescent="0.25">
      <c r="A192" t="s">
        <v>78</v>
      </c>
      <c r="B192">
        <v>1</v>
      </c>
      <c r="C192" t="s">
        <v>36</v>
      </c>
      <c r="D192" t="s">
        <v>99</v>
      </c>
      <c r="E192" t="s">
        <v>100</v>
      </c>
      <c r="F192" s="1">
        <v>1.9675925925925925E-5</v>
      </c>
      <c r="G192" t="s">
        <v>16</v>
      </c>
      <c r="H192">
        <v>4</v>
      </c>
      <c r="I192">
        <v>150</v>
      </c>
      <c r="J192">
        <v>154</v>
      </c>
      <c r="L192" t="s">
        <v>17</v>
      </c>
      <c r="M192" s="3">
        <f t="shared" si="29"/>
        <v>1.6939998138695955</v>
      </c>
    </row>
    <row r="193" spans="1:13" x14ac:dyDescent="0.25">
      <c r="A193" t="s">
        <v>78</v>
      </c>
      <c r="B193">
        <v>2</v>
      </c>
      <c r="C193" t="s">
        <v>36</v>
      </c>
      <c r="D193" t="s">
        <v>101</v>
      </c>
      <c r="E193" t="s">
        <v>102</v>
      </c>
      <c r="F193" s="1">
        <v>1.6203703703703704E-5</v>
      </c>
      <c r="G193" t="s">
        <v>16</v>
      </c>
      <c r="H193">
        <v>4</v>
      </c>
      <c r="I193">
        <v>150</v>
      </c>
      <c r="J193">
        <v>154</v>
      </c>
      <c r="L193" t="s">
        <v>17</v>
      </c>
      <c r="M193" s="3">
        <f t="shared" si="29"/>
        <v>1.4329999219626188</v>
      </c>
    </row>
    <row r="194" spans="1:13" x14ac:dyDescent="0.25">
      <c r="A194" t="s">
        <v>78</v>
      </c>
      <c r="B194">
        <v>3</v>
      </c>
      <c r="C194" t="s">
        <v>36</v>
      </c>
      <c r="D194" t="s">
        <v>103</v>
      </c>
      <c r="E194" t="s">
        <v>104</v>
      </c>
      <c r="F194" s="1">
        <v>1.6203703703703704E-5</v>
      </c>
      <c r="G194" t="s">
        <v>16</v>
      </c>
      <c r="H194">
        <v>4</v>
      </c>
      <c r="I194">
        <v>150</v>
      </c>
      <c r="J194">
        <v>154</v>
      </c>
      <c r="L194" t="s">
        <v>17</v>
      </c>
      <c r="M194" s="3">
        <f t="shared" si="29"/>
        <v>1.3549998169764876</v>
      </c>
    </row>
    <row r="195" spans="1:13" x14ac:dyDescent="0.25">
      <c r="A195" t="s">
        <v>78</v>
      </c>
      <c r="B195">
        <v>4</v>
      </c>
      <c r="C195" t="s">
        <v>36</v>
      </c>
      <c r="D195" t="s">
        <v>105</v>
      </c>
      <c r="E195" t="s">
        <v>106</v>
      </c>
      <c r="F195" s="1">
        <v>1.3888888888888888E-5</v>
      </c>
      <c r="G195" t="s">
        <v>16</v>
      </c>
      <c r="H195">
        <v>4</v>
      </c>
      <c r="I195">
        <v>150</v>
      </c>
      <c r="J195">
        <v>154</v>
      </c>
      <c r="L195" t="s">
        <v>17</v>
      </c>
      <c r="M195" s="3">
        <f t="shared" ref="M195:M258" si="30">(SUBSTITUTE(LEFT(E195,23),"T"," ")-SUBSTITUTE(LEFT(D195,23),"T"," "))*86400</f>
        <v>1.2060001725330949</v>
      </c>
    </row>
    <row r="196" spans="1:13" x14ac:dyDescent="0.25">
      <c r="A196" t="s">
        <v>78</v>
      </c>
      <c r="B196">
        <v>5</v>
      </c>
      <c r="C196" t="s">
        <v>36</v>
      </c>
      <c r="D196" t="s">
        <v>107</v>
      </c>
      <c r="E196" t="s">
        <v>108</v>
      </c>
      <c r="F196" s="1">
        <v>1.7361111111111111E-5</v>
      </c>
      <c r="G196" t="s">
        <v>16</v>
      </c>
      <c r="H196">
        <v>4</v>
      </c>
      <c r="I196">
        <v>150</v>
      </c>
      <c r="J196">
        <v>154</v>
      </c>
      <c r="L196" t="s">
        <v>17</v>
      </c>
      <c r="M196" s="3">
        <f t="shared" si="30"/>
        <v>1.4710001181811094</v>
      </c>
    </row>
    <row r="197" spans="1:13" x14ac:dyDescent="0.25">
      <c r="A197" t="s">
        <v>78</v>
      </c>
      <c r="B197">
        <v>6</v>
      </c>
      <c r="C197" t="s">
        <v>36</v>
      </c>
      <c r="D197" t="s">
        <v>109</v>
      </c>
      <c r="E197" t="s">
        <v>110</v>
      </c>
      <c r="F197" s="1">
        <v>1.2731481481481482E-5</v>
      </c>
      <c r="G197" t="s">
        <v>16</v>
      </c>
      <c r="H197">
        <v>4</v>
      </c>
      <c r="I197">
        <v>150</v>
      </c>
      <c r="J197">
        <v>154</v>
      </c>
      <c r="L197" t="s">
        <v>17</v>
      </c>
      <c r="M197" s="3">
        <f t="shared" si="30"/>
        <v>1.1100001400336623</v>
      </c>
    </row>
    <row r="198" spans="1:13" x14ac:dyDescent="0.25">
      <c r="A198" t="s">
        <v>78</v>
      </c>
      <c r="B198">
        <v>7</v>
      </c>
      <c r="C198" t="s">
        <v>36</v>
      </c>
      <c r="D198" t="s">
        <v>111</v>
      </c>
      <c r="E198" t="s">
        <v>112</v>
      </c>
      <c r="F198" s="1">
        <v>2.199074074074074E-5</v>
      </c>
      <c r="G198" t="s">
        <v>16</v>
      </c>
      <c r="H198">
        <v>4</v>
      </c>
      <c r="I198">
        <v>150</v>
      </c>
      <c r="J198">
        <v>154</v>
      </c>
      <c r="L198" t="s">
        <v>17</v>
      </c>
      <c r="M198" s="3">
        <f t="shared" si="30"/>
        <v>1.0919995838776231</v>
      </c>
    </row>
    <row r="199" spans="1:13" x14ac:dyDescent="0.25">
      <c r="A199" t="s">
        <v>78</v>
      </c>
      <c r="B199">
        <v>8</v>
      </c>
      <c r="C199" t="s">
        <v>36</v>
      </c>
      <c r="D199" t="s">
        <v>113</v>
      </c>
      <c r="E199" t="s">
        <v>114</v>
      </c>
      <c r="F199" s="1">
        <v>1.2731481481481482E-5</v>
      </c>
      <c r="G199" t="s">
        <v>16</v>
      </c>
      <c r="H199">
        <v>4</v>
      </c>
      <c r="I199">
        <v>150</v>
      </c>
      <c r="J199">
        <v>154</v>
      </c>
      <c r="L199" t="s">
        <v>17</v>
      </c>
      <c r="M199" s="3">
        <f t="shared" si="30"/>
        <v>1.1449998244643211</v>
      </c>
    </row>
    <row r="200" spans="1:13" x14ac:dyDescent="0.25">
      <c r="A200" t="s">
        <v>78</v>
      </c>
      <c r="B200">
        <v>9</v>
      </c>
      <c r="C200" t="s">
        <v>36</v>
      </c>
      <c r="D200" t="s">
        <v>115</v>
      </c>
      <c r="E200" t="s">
        <v>116</v>
      </c>
      <c r="F200" s="1">
        <v>1.7361111111111111E-5</v>
      </c>
      <c r="G200" t="s">
        <v>16</v>
      </c>
      <c r="H200">
        <v>4</v>
      </c>
      <c r="I200">
        <v>150</v>
      </c>
      <c r="J200">
        <v>154</v>
      </c>
      <c r="L200" t="s">
        <v>17</v>
      </c>
      <c r="M200" s="3">
        <f t="shared" si="30"/>
        <v>1.483000279404223</v>
      </c>
    </row>
    <row r="201" spans="1:13" x14ac:dyDescent="0.25">
      <c r="A201" t="s">
        <v>78</v>
      </c>
      <c r="B201">
        <v>10</v>
      </c>
      <c r="C201" t="s">
        <v>36</v>
      </c>
      <c r="D201" t="s">
        <v>117</v>
      </c>
      <c r="E201" t="s">
        <v>118</v>
      </c>
      <c r="F201" s="1">
        <v>1.7361111111111111E-5</v>
      </c>
      <c r="G201" t="s">
        <v>16</v>
      </c>
      <c r="H201">
        <v>4</v>
      </c>
      <c r="I201">
        <v>150</v>
      </c>
      <c r="J201">
        <v>154</v>
      </c>
      <c r="L201" t="s">
        <v>17</v>
      </c>
      <c r="M201" s="3">
        <f t="shared" si="30"/>
        <v>1.483999821357429</v>
      </c>
    </row>
    <row r="202" spans="1:13" x14ac:dyDescent="0.25">
      <c r="A202" t="s">
        <v>78</v>
      </c>
      <c r="B202">
        <v>1</v>
      </c>
      <c r="C202" t="s">
        <v>57</v>
      </c>
      <c r="D202" t="s">
        <v>119</v>
      </c>
      <c r="E202" t="s">
        <v>120</v>
      </c>
      <c r="F202" s="1">
        <v>1.7361111111111111E-5</v>
      </c>
      <c r="G202" t="s">
        <v>16</v>
      </c>
      <c r="H202">
        <v>4</v>
      </c>
      <c r="I202">
        <v>104</v>
      </c>
      <c r="J202">
        <v>108</v>
      </c>
      <c r="L202" t="s">
        <v>17</v>
      </c>
      <c r="M202" s="3">
        <f t="shared" si="30"/>
        <v>1.5069999732077122</v>
      </c>
    </row>
    <row r="203" spans="1:13" x14ac:dyDescent="0.25">
      <c r="A203" t="s">
        <v>78</v>
      </c>
      <c r="B203">
        <v>2</v>
      </c>
      <c r="C203" t="s">
        <v>57</v>
      </c>
      <c r="D203" t="s">
        <v>121</v>
      </c>
      <c r="E203" t="s">
        <v>122</v>
      </c>
      <c r="F203" s="1">
        <v>1.7361111111111111E-5</v>
      </c>
      <c r="G203" t="s">
        <v>16</v>
      </c>
      <c r="H203">
        <v>4</v>
      </c>
      <c r="I203">
        <v>104</v>
      </c>
      <c r="J203">
        <v>108</v>
      </c>
      <c r="L203" t="s">
        <v>17</v>
      </c>
      <c r="M203" s="3">
        <f t="shared" si="30"/>
        <v>1.5019997488707304</v>
      </c>
    </row>
    <row r="204" spans="1:13" x14ac:dyDescent="0.25">
      <c r="A204" t="s">
        <v>78</v>
      </c>
      <c r="B204">
        <v>3</v>
      </c>
      <c r="C204" t="s">
        <v>57</v>
      </c>
      <c r="D204" t="s">
        <v>123</v>
      </c>
      <c r="E204" t="s">
        <v>124</v>
      </c>
      <c r="F204" s="1">
        <v>1.6203703703703704E-5</v>
      </c>
      <c r="G204" t="s">
        <v>16</v>
      </c>
      <c r="H204">
        <v>4</v>
      </c>
      <c r="I204">
        <v>104</v>
      </c>
      <c r="J204">
        <v>108</v>
      </c>
      <c r="L204" t="s">
        <v>17</v>
      </c>
      <c r="M204" s="3">
        <f t="shared" si="30"/>
        <v>1.3840003637596965</v>
      </c>
    </row>
    <row r="205" spans="1:13" x14ac:dyDescent="0.25">
      <c r="A205" t="s">
        <v>78</v>
      </c>
      <c r="B205">
        <v>4</v>
      </c>
      <c r="C205" t="s">
        <v>57</v>
      </c>
      <c r="D205" t="s">
        <v>125</v>
      </c>
      <c r="E205" t="s">
        <v>126</v>
      </c>
      <c r="F205" s="1">
        <v>1.7361111111111111E-5</v>
      </c>
      <c r="G205" t="s">
        <v>16</v>
      </c>
      <c r="H205">
        <v>4</v>
      </c>
      <c r="I205">
        <v>104</v>
      </c>
      <c r="J205">
        <v>108</v>
      </c>
      <c r="L205" t="s">
        <v>17</v>
      </c>
      <c r="M205" s="3">
        <f t="shared" si="30"/>
        <v>1.4769998844712973</v>
      </c>
    </row>
    <row r="206" spans="1:13" x14ac:dyDescent="0.25">
      <c r="A206" t="s">
        <v>78</v>
      </c>
      <c r="B206">
        <v>5</v>
      </c>
      <c r="C206" t="s">
        <v>57</v>
      </c>
      <c r="D206" t="s">
        <v>127</v>
      </c>
      <c r="E206" t="s">
        <v>128</v>
      </c>
      <c r="F206" s="1">
        <v>1.7361111111111111E-5</v>
      </c>
      <c r="G206" t="s">
        <v>16</v>
      </c>
      <c r="H206">
        <v>4</v>
      </c>
      <c r="I206">
        <v>104</v>
      </c>
      <c r="J206">
        <v>108</v>
      </c>
      <c r="L206" t="s">
        <v>17</v>
      </c>
      <c r="M206" s="3">
        <f t="shared" si="30"/>
        <v>1.5099998563528061</v>
      </c>
    </row>
    <row r="207" spans="1:13" x14ac:dyDescent="0.25">
      <c r="A207" t="s">
        <v>78</v>
      </c>
      <c r="B207">
        <v>6</v>
      </c>
      <c r="C207" t="s">
        <v>57</v>
      </c>
      <c r="D207" t="s">
        <v>129</v>
      </c>
      <c r="E207" t="s">
        <v>130</v>
      </c>
      <c r="F207" s="1">
        <v>1.3888888888888888E-5</v>
      </c>
      <c r="G207" t="s">
        <v>16</v>
      </c>
      <c r="H207">
        <v>4</v>
      </c>
      <c r="I207">
        <v>104</v>
      </c>
      <c r="J207">
        <v>108</v>
      </c>
      <c r="L207" t="s">
        <v>17</v>
      </c>
      <c r="M207" s="3">
        <f t="shared" si="30"/>
        <v>1.203999831341207</v>
      </c>
    </row>
    <row r="208" spans="1:13" x14ac:dyDescent="0.25">
      <c r="A208" t="s">
        <v>78</v>
      </c>
      <c r="B208">
        <v>7</v>
      </c>
      <c r="C208" t="s">
        <v>57</v>
      </c>
      <c r="D208" t="s">
        <v>131</v>
      </c>
      <c r="E208" t="s">
        <v>132</v>
      </c>
      <c r="F208" s="1">
        <v>1.8518518518518518E-5</v>
      </c>
      <c r="G208" t="s">
        <v>16</v>
      </c>
      <c r="H208">
        <v>4</v>
      </c>
      <c r="I208">
        <v>104</v>
      </c>
      <c r="J208">
        <v>108</v>
      </c>
      <c r="L208" t="s">
        <v>17</v>
      </c>
      <c r="M208" s="3">
        <f t="shared" si="30"/>
        <v>1.5509999357163906</v>
      </c>
    </row>
    <row r="209" spans="1:13" x14ac:dyDescent="0.25">
      <c r="A209" t="s">
        <v>78</v>
      </c>
      <c r="B209">
        <v>8</v>
      </c>
      <c r="C209" t="s">
        <v>57</v>
      </c>
      <c r="D209" t="s">
        <v>133</v>
      </c>
      <c r="E209" t="s">
        <v>134</v>
      </c>
      <c r="F209" s="1">
        <v>1.5046296296296297E-5</v>
      </c>
      <c r="G209" t="s">
        <v>16</v>
      </c>
      <c r="H209">
        <v>4</v>
      </c>
      <c r="I209">
        <v>104</v>
      </c>
      <c r="J209">
        <v>108</v>
      </c>
      <c r="L209" t="s">
        <v>17</v>
      </c>
      <c r="M209" s="3">
        <f t="shared" si="30"/>
        <v>1.345999538898468</v>
      </c>
    </row>
    <row r="210" spans="1:13" x14ac:dyDescent="0.25">
      <c r="A210" t="s">
        <v>78</v>
      </c>
      <c r="B210">
        <v>9</v>
      </c>
      <c r="C210" t="s">
        <v>57</v>
      </c>
      <c r="D210" t="s">
        <v>135</v>
      </c>
      <c r="E210" t="s">
        <v>136</v>
      </c>
      <c r="F210" s="1">
        <v>1.7361111111111111E-5</v>
      </c>
      <c r="G210" t="s">
        <v>16</v>
      </c>
      <c r="H210">
        <v>4</v>
      </c>
      <c r="I210">
        <v>104</v>
      </c>
      <c r="J210">
        <v>108</v>
      </c>
      <c r="L210" t="s">
        <v>17</v>
      </c>
      <c r="M210" s="3">
        <f t="shared" si="30"/>
        <v>1.5150000806897879</v>
      </c>
    </row>
    <row r="211" spans="1:13" x14ac:dyDescent="0.25">
      <c r="A211" t="s">
        <v>78</v>
      </c>
      <c r="B211">
        <v>10</v>
      </c>
      <c r="C211" t="s">
        <v>57</v>
      </c>
      <c r="D211" t="s">
        <v>137</v>
      </c>
      <c r="E211" t="s">
        <v>138</v>
      </c>
      <c r="F211" s="1">
        <v>1.3888888888888888E-5</v>
      </c>
      <c r="G211" t="s">
        <v>16</v>
      </c>
      <c r="H211">
        <v>4</v>
      </c>
      <c r="I211">
        <v>104</v>
      </c>
      <c r="J211">
        <v>108</v>
      </c>
      <c r="L211" t="s">
        <v>17</v>
      </c>
      <c r="M211" s="3">
        <f t="shared" si="30"/>
        <v>1.2390001444146037</v>
      </c>
    </row>
    <row r="212" spans="1:13" x14ac:dyDescent="0.25">
      <c r="A212" t="s">
        <v>139</v>
      </c>
      <c r="B212">
        <v>1</v>
      </c>
      <c r="C212" t="s">
        <v>13</v>
      </c>
      <c r="D212" t="s">
        <v>140</v>
      </c>
      <c r="E212" t="s">
        <v>141</v>
      </c>
      <c r="F212" s="1">
        <v>1.6203703703703704E-5</v>
      </c>
      <c r="G212" t="s">
        <v>16</v>
      </c>
      <c r="H212">
        <v>2</v>
      </c>
      <c r="I212">
        <v>67</v>
      </c>
      <c r="J212">
        <v>69</v>
      </c>
      <c r="L212" t="s">
        <v>17</v>
      </c>
      <c r="M212" s="3">
        <f t="shared" si="30"/>
        <v>1.3720002025365829</v>
      </c>
    </row>
    <row r="213" spans="1:13" x14ac:dyDescent="0.25">
      <c r="A213" t="s">
        <v>139</v>
      </c>
      <c r="B213">
        <v>2</v>
      </c>
      <c r="C213" t="s">
        <v>13</v>
      </c>
      <c r="D213" t="s">
        <v>142</v>
      </c>
      <c r="E213" t="s">
        <v>143</v>
      </c>
      <c r="F213" s="1">
        <v>1.5046296296296297E-5</v>
      </c>
      <c r="G213" t="s">
        <v>16</v>
      </c>
      <c r="H213">
        <v>2</v>
      </c>
      <c r="I213">
        <v>67</v>
      </c>
      <c r="J213">
        <v>69</v>
      </c>
      <c r="L213" t="s">
        <v>17</v>
      </c>
      <c r="M213" s="3">
        <f t="shared" si="30"/>
        <v>1.2759995413944125</v>
      </c>
    </row>
    <row r="214" spans="1:13" x14ac:dyDescent="0.25">
      <c r="A214" t="s">
        <v>139</v>
      </c>
      <c r="B214">
        <v>3</v>
      </c>
      <c r="C214" t="s">
        <v>13</v>
      </c>
      <c r="D214" t="s">
        <v>144</v>
      </c>
      <c r="E214" t="s">
        <v>145</v>
      </c>
      <c r="F214" s="1">
        <v>1.3888888888888888E-5</v>
      </c>
      <c r="G214" t="s">
        <v>16</v>
      </c>
      <c r="H214">
        <v>2</v>
      </c>
      <c r="I214">
        <v>67</v>
      </c>
      <c r="J214">
        <v>69</v>
      </c>
      <c r="L214" t="s">
        <v>17</v>
      </c>
      <c r="M214" s="3">
        <f t="shared" si="30"/>
        <v>1.2099995976313949</v>
      </c>
    </row>
    <row r="215" spans="1:13" x14ac:dyDescent="0.25">
      <c r="A215" t="s">
        <v>139</v>
      </c>
      <c r="B215">
        <v>4</v>
      </c>
      <c r="C215" t="s">
        <v>13</v>
      </c>
      <c r="D215" t="s">
        <v>146</v>
      </c>
      <c r="E215" t="s">
        <v>147</v>
      </c>
      <c r="F215" s="1">
        <v>1.2731481481481482E-5</v>
      </c>
      <c r="G215" t="s">
        <v>16</v>
      </c>
      <c r="H215">
        <v>2</v>
      </c>
      <c r="I215">
        <v>67</v>
      </c>
      <c r="J215">
        <v>69</v>
      </c>
      <c r="L215" t="s">
        <v>17</v>
      </c>
      <c r="M215" s="3">
        <f t="shared" si="30"/>
        <v>1.1369997169822454</v>
      </c>
    </row>
    <row r="216" spans="1:13" x14ac:dyDescent="0.25">
      <c r="A216" t="s">
        <v>139</v>
      </c>
      <c r="B216">
        <v>5</v>
      </c>
      <c r="C216" t="s">
        <v>13</v>
      </c>
      <c r="D216" t="s">
        <v>148</v>
      </c>
      <c r="E216" t="s">
        <v>149</v>
      </c>
      <c r="F216" s="1">
        <v>1.5046296296296297E-5</v>
      </c>
      <c r="G216" t="s">
        <v>16</v>
      </c>
      <c r="H216">
        <v>2</v>
      </c>
      <c r="I216">
        <v>67</v>
      </c>
      <c r="J216">
        <v>69</v>
      </c>
      <c r="L216" t="s">
        <v>17</v>
      </c>
      <c r="M216" s="3">
        <f t="shared" si="30"/>
        <v>1.2499995063990355</v>
      </c>
    </row>
    <row r="217" spans="1:13" x14ac:dyDescent="0.25">
      <c r="A217" t="s">
        <v>139</v>
      </c>
      <c r="B217">
        <v>6</v>
      </c>
      <c r="C217" t="s">
        <v>13</v>
      </c>
      <c r="D217" t="s">
        <v>150</v>
      </c>
      <c r="E217" t="s">
        <v>151</v>
      </c>
      <c r="F217" s="1">
        <v>1.2731481481481482E-5</v>
      </c>
      <c r="G217" t="s">
        <v>16</v>
      </c>
      <c r="H217">
        <v>2</v>
      </c>
      <c r="I217">
        <v>67</v>
      </c>
      <c r="J217">
        <v>69</v>
      </c>
      <c r="L217" t="s">
        <v>17</v>
      </c>
      <c r="M217" s="3">
        <f t="shared" si="30"/>
        <v>1.1320001212880015</v>
      </c>
    </row>
    <row r="218" spans="1:13" x14ac:dyDescent="0.25">
      <c r="A218" t="s">
        <v>139</v>
      </c>
      <c r="B218">
        <v>7</v>
      </c>
      <c r="C218" t="s">
        <v>13</v>
      </c>
      <c r="D218" t="s">
        <v>152</v>
      </c>
      <c r="E218" t="s">
        <v>153</v>
      </c>
      <c r="F218" s="1">
        <v>1.5046296296296297E-5</v>
      </c>
      <c r="G218" t="s">
        <v>16</v>
      </c>
      <c r="H218">
        <v>2</v>
      </c>
      <c r="I218">
        <v>67</v>
      </c>
      <c r="J218">
        <v>69</v>
      </c>
      <c r="L218" t="s">
        <v>17</v>
      </c>
      <c r="M218" s="3">
        <f t="shared" si="30"/>
        <v>1.2519998475909233</v>
      </c>
    </row>
    <row r="219" spans="1:13" x14ac:dyDescent="0.25">
      <c r="A219" t="s">
        <v>139</v>
      </c>
      <c r="B219">
        <v>8</v>
      </c>
      <c r="C219" t="s">
        <v>13</v>
      </c>
      <c r="D219" t="s">
        <v>154</v>
      </c>
      <c r="E219" t="s">
        <v>155</v>
      </c>
      <c r="F219" s="1">
        <v>1.3888888888888888E-5</v>
      </c>
      <c r="G219" t="s">
        <v>16</v>
      </c>
      <c r="H219">
        <v>2</v>
      </c>
      <c r="I219">
        <v>67</v>
      </c>
      <c r="J219">
        <v>69</v>
      </c>
      <c r="L219" t="s">
        <v>17</v>
      </c>
      <c r="M219" s="3">
        <f t="shared" si="30"/>
        <v>1.2250002706423402</v>
      </c>
    </row>
    <row r="220" spans="1:13" x14ac:dyDescent="0.25">
      <c r="A220" t="s">
        <v>139</v>
      </c>
      <c r="B220">
        <v>9</v>
      </c>
      <c r="C220" t="s">
        <v>13</v>
      </c>
      <c r="D220" t="s">
        <v>156</v>
      </c>
      <c r="E220" t="s">
        <v>157</v>
      </c>
      <c r="F220" s="1">
        <v>1.5046296296296297E-5</v>
      </c>
      <c r="G220" t="s">
        <v>16</v>
      </c>
      <c r="H220">
        <v>2</v>
      </c>
      <c r="I220">
        <v>67</v>
      </c>
      <c r="J220">
        <v>69</v>
      </c>
      <c r="L220" t="s">
        <v>17</v>
      </c>
      <c r="M220" s="3">
        <f t="shared" si="30"/>
        <v>1.343000284396112</v>
      </c>
    </row>
    <row r="221" spans="1:13" x14ac:dyDescent="0.25">
      <c r="A221" t="s">
        <v>139</v>
      </c>
      <c r="B221">
        <v>10</v>
      </c>
      <c r="C221" t="s">
        <v>13</v>
      </c>
      <c r="D221" t="s">
        <v>158</v>
      </c>
      <c r="E221" t="s">
        <v>159</v>
      </c>
      <c r="F221" s="1">
        <v>1.9675925925925925E-5</v>
      </c>
      <c r="G221" t="s">
        <v>16</v>
      </c>
      <c r="H221">
        <v>2</v>
      </c>
      <c r="I221">
        <v>67</v>
      </c>
      <c r="J221">
        <v>69</v>
      </c>
      <c r="L221" t="s">
        <v>17</v>
      </c>
      <c r="M221" s="3">
        <f t="shared" si="30"/>
        <v>1.0729994857683778</v>
      </c>
    </row>
    <row r="222" spans="1:13" x14ac:dyDescent="0.25">
      <c r="A222" t="s">
        <v>139</v>
      </c>
      <c r="B222">
        <v>1</v>
      </c>
      <c r="C222" t="s">
        <v>36</v>
      </c>
      <c r="D222" t="s">
        <v>160</v>
      </c>
      <c r="E222" t="s">
        <v>161</v>
      </c>
      <c r="F222" s="1">
        <v>1.5046296296296297E-5</v>
      </c>
      <c r="G222" t="s">
        <v>16</v>
      </c>
      <c r="H222">
        <v>2</v>
      </c>
      <c r="I222">
        <v>161</v>
      </c>
      <c r="J222">
        <v>163</v>
      </c>
      <c r="L222" t="s">
        <v>17</v>
      </c>
      <c r="M222" s="3">
        <f t="shared" si="30"/>
        <v>1.2519998475909233</v>
      </c>
    </row>
    <row r="223" spans="1:13" x14ac:dyDescent="0.25">
      <c r="A223" t="s">
        <v>139</v>
      </c>
      <c r="B223">
        <v>2</v>
      </c>
      <c r="C223" t="s">
        <v>36</v>
      </c>
      <c r="D223" t="s">
        <v>162</v>
      </c>
      <c r="E223" t="s">
        <v>163</v>
      </c>
      <c r="F223" s="1">
        <v>1.8518518518518518E-5</v>
      </c>
      <c r="G223" t="s">
        <v>16</v>
      </c>
      <c r="H223">
        <v>2</v>
      </c>
      <c r="I223">
        <v>161</v>
      </c>
      <c r="J223">
        <v>163</v>
      </c>
      <c r="L223" t="s">
        <v>17</v>
      </c>
      <c r="M223" s="3">
        <f t="shared" si="30"/>
        <v>1.5640002675354481</v>
      </c>
    </row>
    <row r="224" spans="1:13" x14ac:dyDescent="0.25">
      <c r="A224" t="s">
        <v>139</v>
      </c>
      <c r="B224">
        <v>3</v>
      </c>
      <c r="C224" t="s">
        <v>36</v>
      </c>
      <c r="D224" t="s">
        <v>164</v>
      </c>
      <c r="E224" t="s">
        <v>165</v>
      </c>
      <c r="F224" s="1">
        <v>1.5046296296296297E-5</v>
      </c>
      <c r="G224" t="s">
        <v>16</v>
      </c>
      <c r="H224">
        <v>2</v>
      </c>
      <c r="I224">
        <v>161</v>
      </c>
      <c r="J224">
        <v>163</v>
      </c>
      <c r="L224" t="s">
        <v>17</v>
      </c>
      <c r="M224" s="3">
        <f t="shared" si="30"/>
        <v>1.3109998544678092</v>
      </c>
    </row>
    <row r="225" spans="1:13" x14ac:dyDescent="0.25">
      <c r="A225" t="s">
        <v>139</v>
      </c>
      <c r="B225">
        <v>4</v>
      </c>
      <c r="C225" t="s">
        <v>36</v>
      </c>
      <c r="D225" t="s">
        <v>166</v>
      </c>
      <c r="E225" t="s">
        <v>167</v>
      </c>
      <c r="F225" s="1">
        <v>1.3888888888888888E-5</v>
      </c>
      <c r="G225" t="s">
        <v>16</v>
      </c>
      <c r="H225">
        <v>2</v>
      </c>
      <c r="I225">
        <v>161</v>
      </c>
      <c r="J225">
        <v>163</v>
      </c>
      <c r="L225" t="s">
        <v>17</v>
      </c>
      <c r="M225" s="3">
        <f t="shared" si="30"/>
        <v>1.1950001819059253</v>
      </c>
    </row>
    <row r="226" spans="1:13" x14ac:dyDescent="0.25">
      <c r="A226" t="s">
        <v>139</v>
      </c>
      <c r="B226">
        <v>5</v>
      </c>
      <c r="C226" t="s">
        <v>36</v>
      </c>
      <c r="D226" t="s">
        <v>168</v>
      </c>
      <c r="E226" t="s">
        <v>169</v>
      </c>
      <c r="F226" s="1">
        <v>1.3888888888888888E-5</v>
      </c>
      <c r="G226" t="s">
        <v>16</v>
      </c>
      <c r="H226">
        <v>2</v>
      </c>
      <c r="I226">
        <v>161</v>
      </c>
      <c r="J226">
        <v>163</v>
      </c>
      <c r="L226" t="s">
        <v>17</v>
      </c>
      <c r="M226" s="3">
        <f t="shared" si="30"/>
        <v>1.1789999669417739</v>
      </c>
    </row>
    <row r="227" spans="1:13" x14ac:dyDescent="0.25">
      <c r="A227" t="s">
        <v>139</v>
      </c>
      <c r="B227">
        <v>6</v>
      </c>
      <c r="C227" t="s">
        <v>36</v>
      </c>
      <c r="D227" t="s">
        <v>170</v>
      </c>
      <c r="E227" t="s">
        <v>171</v>
      </c>
      <c r="F227" s="1">
        <v>1.5046296296296297E-5</v>
      </c>
      <c r="G227" t="s">
        <v>16</v>
      </c>
      <c r="H227">
        <v>2</v>
      </c>
      <c r="I227">
        <v>161</v>
      </c>
      <c r="J227">
        <v>163</v>
      </c>
      <c r="L227" t="s">
        <v>17</v>
      </c>
      <c r="M227" s="3">
        <f t="shared" si="30"/>
        <v>1.2760001700371504</v>
      </c>
    </row>
    <row r="228" spans="1:13" x14ac:dyDescent="0.25">
      <c r="A228" t="s">
        <v>139</v>
      </c>
      <c r="B228">
        <v>7</v>
      </c>
      <c r="C228" t="s">
        <v>36</v>
      </c>
      <c r="D228" t="s">
        <v>172</v>
      </c>
      <c r="E228" t="s">
        <v>173</v>
      </c>
      <c r="F228" s="1">
        <v>1.6203703703703704E-5</v>
      </c>
      <c r="G228" t="s">
        <v>16</v>
      </c>
      <c r="H228">
        <v>2</v>
      </c>
      <c r="I228">
        <v>161</v>
      </c>
      <c r="J228">
        <v>163</v>
      </c>
      <c r="L228" t="s">
        <v>17</v>
      </c>
      <c r="M228" s="3">
        <f t="shared" si="30"/>
        <v>1.3979996088892221</v>
      </c>
    </row>
    <row r="229" spans="1:13" x14ac:dyDescent="0.25">
      <c r="A229" t="s">
        <v>139</v>
      </c>
      <c r="B229">
        <v>8</v>
      </c>
      <c r="C229" t="s">
        <v>36</v>
      </c>
      <c r="D229" t="s">
        <v>174</v>
      </c>
      <c r="E229" t="s">
        <v>175</v>
      </c>
      <c r="F229" s="1">
        <v>1.3888888888888888E-5</v>
      </c>
      <c r="G229" t="s">
        <v>16</v>
      </c>
      <c r="H229">
        <v>2</v>
      </c>
      <c r="I229">
        <v>161</v>
      </c>
      <c r="J229">
        <v>163</v>
      </c>
      <c r="L229" t="s">
        <v>17</v>
      </c>
      <c r="M229" s="3">
        <f t="shared" si="30"/>
        <v>1.1880002450197935</v>
      </c>
    </row>
    <row r="230" spans="1:13" x14ac:dyDescent="0.25">
      <c r="A230" t="s">
        <v>139</v>
      </c>
      <c r="B230">
        <v>9</v>
      </c>
      <c r="C230" t="s">
        <v>36</v>
      </c>
      <c r="D230" t="s">
        <v>176</v>
      </c>
      <c r="E230" t="s">
        <v>177</v>
      </c>
      <c r="F230" s="1">
        <v>2.199074074074074E-5</v>
      </c>
      <c r="G230" t="s">
        <v>16</v>
      </c>
      <c r="H230">
        <v>2</v>
      </c>
      <c r="I230">
        <v>161</v>
      </c>
      <c r="J230">
        <v>163</v>
      </c>
      <c r="L230" t="s">
        <v>17</v>
      </c>
      <c r="M230" s="3">
        <f t="shared" si="30"/>
        <v>1.0899998713284731</v>
      </c>
    </row>
    <row r="231" spans="1:13" x14ac:dyDescent="0.25">
      <c r="A231" t="s">
        <v>139</v>
      </c>
      <c r="B231">
        <v>10</v>
      </c>
      <c r="C231" t="s">
        <v>36</v>
      </c>
      <c r="D231" t="s">
        <v>178</v>
      </c>
      <c r="E231" t="s">
        <v>179</v>
      </c>
      <c r="F231" s="1">
        <v>1.5046296296296297E-5</v>
      </c>
      <c r="G231" t="s">
        <v>16</v>
      </c>
      <c r="H231">
        <v>2</v>
      </c>
      <c r="I231">
        <v>161</v>
      </c>
      <c r="J231">
        <v>163</v>
      </c>
      <c r="L231" t="s">
        <v>17</v>
      </c>
      <c r="M231" s="3">
        <f t="shared" si="30"/>
        <v>1.2880003312602639</v>
      </c>
    </row>
    <row r="232" spans="1:13" x14ac:dyDescent="0.25">
      <c r="A232" t="s">
        <v>139</v>
      </c>
      <c r="B232">
        <v>1</v>
      </c>
      <c r="C232" t="s">
        <v>57</v>
      </c>
      <c r="D232" t="s">
        <v>180</v>
      </c>
      <c r="E232" t="s">
        <v>181</v>
      </c>
      <c r="F232" s="1">
        <v>1.3888888888888888E-5</v>
      </c>
      <c r="G232" t="s">
        <v>16</v>
      </c>
      <c r="H232">
        <v>2</v>
      </c>
      <c r="I232">
        <v>94</v>
      </c>
      <c r="J232">
        <v>96</v>
      </c>
      <c r="L232" t="s">
        <v>17</v>
      </c>
      <c r="M232" s="3">
        <f t="shared" si="30"/>
        <v>1.1759994551539421</v>
      </c>
    </row>
    <row r="233" spans="1:13" x14ac:dyDescent="0.25">
      <c r="A233" t="s">
        <v>139</v>
      </c>
      <c r="B233">
        <v>2</v>
      </c>
      <c r="C233" t="s">
        <v>57</v>
      </c>
      <c r="D233" t="s">
        <v>182</v>
      </c>
      <c r="E233" t="s">
        <v>183</v>
      </c>
      <c r="F233" s="1">
        <v>1.3888888888888888E-5</v>
      </c>
      <c r="G233" t="s">
        <v>16</v>
      </c>
      <c r="H233">
        <v>2</v>
      </c>
      <c r="I233">
        <v>94</v>
      </c>
      <c r="J233">
        <v>96</v>
      </c>
      <c r="L233" t="s">
        <v>17</v>
      </c>
      <c r="M233" s="3">
        <f t="shared" si="30"/>
        <v>1.1669998057186604</v>
      </c>
    </row>
    <row r="234" spans="1:13" x14ac:dyDescent="0.25">
      <c r="A234" t="s">
        <v>139</v>
      </c>
      <c r="B234">
        <v>3</v>
      </c>
      <c r="C234" t="s">
        <v>57</v>
      </c>
      <c r="D234" t="s">
        <v>184</v>
      </c>
      <c r="E234" t="s">
        <v>185</v>
      </c>
      <c r="F234" s="1">
        <v>1.3888888888888888E-5</v>
      </c>
      <c r="G234" t="s">
        <v>16</v>
      </c>
      <c r="H234">
        <v>2</v>
      </c>
      <c r="I234">
        <v>94</v>
      </c>
      <c r="J234">
        <v>96</v>
      </c>
      <c r="L234" t="s">
        <v>17</v>
      </c>
      <c r="M234" s="3">
        <f t="shared" si="30"/>
        <v>1.2080005137249827</v>
      </c>
    </row>
    <row r="235" spans="1:13" x14ac:dyDescent="0.25">
      <c r="A235" t="s">
        <v>139</v>
      </c>
      <c r="B235">
        <v>4</v>
      </c>
      <c r="C235" t="s">
        <v>57</v>
      </c>
      <c r="D235" t="s">
        <v>186</v>
      </c>
      <c r="E235" t="s">
        <v>187</v>
      </c>
      <c r="F235" s="1">
        <v>1.2731481481481482E-5</v>
      </c>
      <c r="G235" t="s">
        <v>16</v>
      </c>
      <c r="H235">
        <v>2</v>
      </c>
      <c r="I235">
        <v>94</v>
      </c>
      <c r="J235">
        <v>96</v>
      </c>
      <c r="L235" t="s">
        <v>17</v>
      </c>
      <c r="M235" s="3">
        <f t="shared" si="30"/>
        <v>1.1149997357279062</v>
      </c>
    </row>
    <row r="236" spans="1:13" x14ac:dyDescent="0.25">
      <c r="A236" t="s">
        <v>139</v>
      </c>
      <c r="B236">
        <v>5</v>
      </c>
      <c r="C236" t="s">
        <v>57</v>
      </c>
      <c r="D236" t="s">
        <v>188</v>
      </c>
      <c r="E236" t="s">
        <v>189</v>
      </c>
      <c r="F236" s="1">
        <v>1.3888888888888888E-5</v>
      </c>
      <c r="G236" t="s">
        <v>16</v>
      </c>
      <c r="H236">
        <v>2</v>
      </c>
      <c r="I236">
        <v>94</v>
      </c>
      <c r="J236">
        <v>96</v>
      </c>
      <c r="L236" t="s">
        <v>17</v>
      </c>
      <c r="M236" s="3">
        <f t="shared" si="30"/>
        <v>1.1510002193972468</v>
      </c>
    </row>
    <row r="237" spans="1:13" x14ac:dyDescent="0.25">
      <c r="A237" t="s">
        <v>139</v>
      </c>
      <c r="B237">
        <v>6</v>
      </c>
      <c r="C237" t="s">
        <v>57</v>
      </c>
      <c r="D237" t="s">
        <v>190</v>
      </c>
      <c r="E237" t="s">
        <v>191</v>
      </c>
      <c r="F237" s="1">
        <v>1.9675925925925925E-5</v>
      </c>
      <c r="G237" t="s">
        <v>16</v>
      </c>
      <c r="H237">
        <v>2</v>
      </c>
      <c r="I237">
        <v>94</v>
      </c>
      <c r="J237">
        <v>96</v>
      </c>
      <c r="L237" t="s">
        <v>17</v>
      </c>
      <c r="M237" s="3">
        <f t="shared" si="30"/>
        <v>1.0740002850070596</v>
      </c>
    </row>
    <row r="238" spans="1:13" x14ac:dyDescent="0.25">
      <c r="A238" t="s">
        <v>139</v>
      </c>
      <c r="B238">
        <v>7</v>
      </c>
      <c r="C238" t="s">
        <v>57</v>
      </c>
      <c r="D238" t="s">
        <v>192</v>
      </c>
      <c r="E238" t="s">
        <v>193</v>
      </c>
      <c r="F238" s="1">
        <v>1.2731481481481482E-5</v>
      </c>
      <c r="G238" t="s">
        <v>16</v>
      </c>
      <c r="H238">
        <v>2</v>
      </c>
      <c r="I238">
        <v>94</v>
      </c>
      <c r="J238">
        <v>96</v>
      </c>
      <c r="L238" t="s">
        <v>17</v>
      </c>
      <c r="M238" s="3">
        <f t="shared" si="30"/>
        <v>1.0009997757151723</v>
      </c>
    </row>
    <row r="239" spans="1:13" x14ac:dyDescent="0.25">
      <c r="A239" t="s">
        <v>139</v>
      </c>
      <c r="B239">
        <v>8</v>
      </c>
      <c r="C239" t="s">
        <v>57</v>
      </c>
      <c r="D239" t="s">
        <v>194</v>
      </c>
      <c r="E239" t="s">
        <v>195</v>
      </c>
      <c r="F239" s="1">
        <v>1.2731481481481482E-5</v>
      </c>
      <c r="G239" t="s">
        <v>16</v>
      </c>
      <c r="H239">
        <v>2</v>
      </c>
      <c r="I239">
        <v>94</v>
      </c>
      <c r="J239">
        <v>96</v>
      </c>
      <c r="L239" t="s">
        <v>17</v>
      </c>
      <c r="M239" s="3">
        <f t="shared" si="30"/>
        <v>1.1390000581741333</v>
      </c>
    </row>
    <row r="240" spans="1:13" x14ac:dyDescent="0.25">
      <c r="A240" t="s">
        <v>139</v>
      </c>
      <c r="B240">
        <v>9</v>
      </c>
      <c r="C240" t="s">
        <v>57</v>
      </c>
      <c r="D240" t="s">
        <v>196</v>
      </c>
      <c r="E240" t="s">
        <v>197</v>
      </c>
      <c r="F240" s="1">
        <v>1.3888888888888888E-5</v>
      </c>
      <c r="G240" t="s">
        <v>16</v>
      </c>
      <c r="H240">
        <v>2</v>
      </c>
      <c r="I240">
        <v>94</v>
      </c>
      <c r="J240">
        <v>96</v>
      </c>
      <c r="L240" t="s">
        <v>17</v>
      </c>
      <c r="M240" s="3">
        <f t="shared" si="30"/>
        <v>1.1999997776001692</v>
      </c>
    </row>
    <row r="241" spans="1:13" x14ac:dyDescent="0.25">
      <c r="A241" t="s">
        <v>139</v>
      </c>
      <c r="B241">
        <v>10</v>
      </c>
      <c r="C241" t="s">
        <v>57</v>
      </c>
      <c r="D241" t="s">
        <v>198</v>
      </c>
      <c r="E241" t="s">
        <v>199</v>
      </c>
      <c r="F241" s="1">
        <v>1.3888888888888888E-5</v>
      </c>
      <c r="G241" t="s">
        <v>16</v>
      </c>
      <c r="H241">
        <v>2</v>
      </c>
      <c r="I241">
        <v>94</v>
      </c>
      <c r="J241">
        <v>96</v>
      </c>
      <c r="L241" t="s">
        <v>17</v>
      </c>
      <c r="M241" s="3">
        <f t="shared" si="30"/>
        <v>1.2439997401088476</v>
      </c>
    </row>
    <row r="242" spans="1:13" x14ac:dyDescent="0.25">
      <c r="A242" t="s">
        <v>200</v>
      </c>
      <c r="B242">
        <v>1</v>
      </c>
      <c r="C242" t="s">
        <v>13</v>
      </c>
      <c r="D242" t="s">
        <v>201</v>
      </c>
      <c r="E242" t="s">
        <v>202</v>
      </c>
      <c r="F242" s="1">
        <v>1.5046296296296297E-5</v>
      </c>
      <c r="G242" t="s">
        <v>16</v>
      </c>
      <c r="H242">
        <v>3</v>
      </c>
      <c r="I242">
        <v>67</v>
      </c>
      <c r="J242">
        <v>70</v>
      </c>
      <c r="L242" t="s">
        <v>17</v>
      </c>
      <c r="M242" s="3">
        <f t="shared" si="30"/>
        <v>1.3090001419186592</v>
      </c>
    </row>
    <row r="243" spans="1:13" x14ac:dyDescent="0.25">
      <c r="A243" t="s">
        <v>200</v>
      </c>
      <c r="B243">
        <v>2</v>
      </c>
      <c r="C243" t="s">
        <v>13</v>
      </c>
      <c r="D243" t="s">
        <v>203</v>
      </c>
      <c r="E243" t="s">
        <v>204</v>
      </c>
      <c r="F243" s="1">
        <v>1.9675925925925925E-5</v>
      </c>
      <c r="G243" t="s">
        <v>16</v>
      </c>
      <c r="H243">
        <v>3</v>
      </c>
      <c r="I243">
        <v>67</v>
      </c>
      <c r="J243">
        <v>70</v>
      </c>
      <c r="L243" t="s">
        <v>17</v>
      </c>
      <c r="M243" s="3">
        <f t="shared" si="30"/>
        <v>1.6829998232424259</v>
      </c>
    </row>
    <row r="244" spans="1:13" x14ac:dyDescent="0.25">
      <c r="A244" t="s">
        <v>200</v>
      </c>
      <c r="B244">
        <v>3</v>
      </c>
      <c r="C244" t="s">
        <v>13</v>
      </c>
      <c r="D244" t="s">
        <v>205</v>
      </c>
      <c r="E244" t="s">
        <v>206</v>
      </c>
      <c r="F244" s="1">
        <v>1.5046296296296297E-5</v>
      </c>
      <c r="G244" t="s">
        <v>16</v>
      </c>
      <c r="H244">
        <v>3</v>
      </c>
      <c r="I244">
        <v>67</v>
      </c>
      <c r="J244">
        <v>70</v>
      </c>
      <c r="L244" t="s">
        <v>17</v>
      </c>
      <c r="M244" s="3">
        <f t="shared" si="30"/>
        <v>1.28500044811517</v>
      </c>
    </row>
    <row r="245" spans="1:13" x14ac:dyDescent="0.25">
      <c r="A245" t="s">
        <v>200</v>
      </c>
      <c r="B245">
        <v>4</v>
      </c>
      <c r="C245" t="s">
        <v>13</v>
      </c>
      <c r="D245" t="s">
        <v>207</v>
      </c>
      <c r="E245" t="s">
        <v>208</v>
      </c>
      <c r="F245" s="1">
        <v>2.0833333333333333E-5</v>
      </c>
      <c r="G245" t="s">
        <v>16</v>
      </c>
      <c r="H245">
        <v>3</v>
      </c>
      <c r="I245">
        <v>67</v>
      </c>
      <c r="J245">
        <v>70</v>
      </c>
      <c r="L245" t="s">
        <v>17</v>
      </c>
      <c r="M245" s="3">
        <f t="shared" si="30"/>
        <v>1.763999811373651</v>
      </c>
    </row>
    <row r="246" spans="1:13" x14ac:dyDescent="0.25">
      <c r="A246" t="s">
        <v>200</v>
      </c>
      <c r="B246">
        <v>5</v>
      </c>
      <c r="C246" t="s">
        <v>13</v>
      </c>
      <c r="D246" t="s">
        <v>209</v>
      </c>
      <c r="E246" t="s">
        <v>210</v>
      </c>
      <c r="F246" s="1">
        <v>1.8518518518518518E-5</v>
      </c>
      <c r="G246" t="s">
        <v>16</v>
      </c>
      <c r="H246">
        <v>3</v>
      </c>
      <c r="I246">
        <v>67</v>
      </c>
      <c r="J246">
        <v>70</v>
      </c>
      <c r="L246" t="s">
        <v>17</v>
      </c>
      <c r="M246" s="3">
        <f t="shared" si="30"/>
        <v>1.5850000781938434</v>
      </c>
    </row>
    <row r="247" spans="1:13" x14ac:dyDescent="0.25">
      <c r="A247" t="s">
        <v>200</v>
      </c>
      <c r="B247">
        <v>6</v>
      </c>
      <c r="C247" t="s">
        <v>13</v>
      </c>
      <c r="D247" t="s">
        <v>211</v>
      </c>
      <c r="E247" t="s">
        <v>212</v>
      </c>
      <c r="F247" s="1">
        <v>1.5046296296296297E-5</v>
      </c>
      <c r="G247" t="s">
        <v>16</v>
      </c>
      <c r="H247">
        <v>3</v>
      </c>
      <c r="I247">
        <v>67</v>
      </c>
      <c r="J247">
        <v>70</v>
      </c>
      <c r="L247" t="s">
        <v>17</v>
      </c>
      <c r="M247" s="3">
        <f t="shared" si="30"/>
        <v>1.28700016066432</v>
      </c>
    </row>
    <row r="248" spans="1:13" x14ac:dyDescent="0.25">
      <c r="A248" t="s">
        <v>200</v>
      </c>
      <c r="B248">
        <v>7</v>
      </c>
      <c r="C248" t="s">
        <v>13</v>
      </c>
      <c r="D248" t="s">
        <v>213</v>
      </c>
      <c r="E248" t="s">
        <v>214</v>
      </c>
      <c r="F248" s="1">
        <v>1.9675925925925925E-5</v>
      </c>
      <c r="G248" t="s">
        <v>16</v>
      </c>
      <c r="H248">
        <v>3</v>
      </c>
      <c r="I248">
        <v>67</v>
      </c>
      <c r="J248">
        <v>70</v>
      </c>
      <c r="L248" t="s">
        <v>17</v>
      </c>
      <c r="M248" s="3">
        <f t="shared" si="30"/>
        <v>1.6700001200661063</v>
      </c>
    </row>
    <row r="249" spans="1:13" x14ac:dyDescent="0.25">
      <c r="A249" t="s">
        <v>200</v>
      </c>
      <c r="B249">
        <v>8</v>
      </c>
      <c r="C249" t="s">
        <v>13</v>
      </c>
      <c r="D249" t="s">
        <v>215</v>
      </c>
      <c r="E249" t="s">
        <v>216</v>
      </c>
      <c r="F249" s="1">
        <v>1.5046296296296297E-5</v>
      </c>
      <c r="G249" t="s">
        <v>16</v>
      </c>
      <c r="H249">
        <v>3</v>
      </c>
      <c r="I249">
        <v>67</v>
      </c>
      <c r="J249">
        <v>70</v>
      </c>
      <c r="L249" t="s">
        <v>17</v>
      </c>
      <c r="M249" s="3">
        <f t="shared" si="30"/>
        <v>1.3020002050325274</v>
      </c>
    </row>
    <row r="250" spans="1:13" x14ac:dyDescent="0.25">
      <c r="A250" t="s">
        <v>200</v>
      </c>
      <c r="B250">
        <v>9</v>
      </c>
      <c r="C250" t="s">
        <v>13</v>
      </c>
      <c r="D250" t="s">
        <v>217</v>
      </c>
      <c r="E250" t="s">
        <v>218</v>
      </c>
      <c r="F250" s="1">
        <v>1.3888888888888888E-5</v>
      </c>
      <c r="G250" t="s">
        <v>16</v>
      </c>
      <c r="H250">
        <v>3</v>
      </c>
      <c r="I250">
        <v>67</v>
      </c>
      <c r="J250">
        <v>70</v>
      </c>
      <c r="L250" t="s">
        <v>17</v>
      </c>
      <c r="M250" s="3">
        <f t="shared" si="30"/>
        <v>1.2460000813007355</v>
      </c>
    </row>
    <row r="251" spans="1:13" x14ac:dyDescent="0.25">
      <c r="A251" t="s">
        <v>200</v>
      </c>
      <c r="B251">
        <v>10</v>
      </c>
      <c r="C251" t="s">
        <v>13</v>
      </c>
      <c r="D251" t="s">
        <v>219</v>
      </c>
      <c r="E251" t="s">
        <v>220</v>
      </c>
      <c r="F251" s="1">
        <v>1.6203703703703704E-5</v>
      </c>
      <c r="G251" t="s">
        <v>16</v>
      </c>
      <c r="H251">
        <v>3</v>
      </c>
      <c r="I251">
        <v>67</v>
      </c>
      <c r="J251">
        <v>70</v>
      </c>
      <c r="L251" t="s">
        <v>17</v>
      </c>
      <c r="M251" s="3">
        <f t="shared" si="30"/>
        <v>1.3589998707175255</v>
      </c>
    </row>
    <row r="252" spans="1:13" x14ac:dyDescent="0.25">
      <c r="A252" t="s">
        <v>200</v>
      </c>
      <c r="B252">
        <v>1</v>
      </c>
      <c r="C252" t="s">
        <v>36</v>
      </c>
      <c r="D252" t="s">
        <v>221</v>
      </c>
      <c r="E252" t="s">
        <v>222</v>
      </c>
      <c r="F252" s="1">
        <v>1.6203703703703704E-5</v>
      </c>
      <c r="G252" t="s">
        <v>16</v>
      </c>
      <c r="H252">
        <v>3</v>
      </c>
      <c r="I252">
        <v>139</v>
      </c>
      <c r="J252">
        <v>142</v>
      </c>
      <c r="L252" t="s">
        <v>17</v>
      </c>
      <c r="M252" s="3">
        <f t="shared" si="30"/>
        <v>1.4169997069984674</v>
      </c>
    </row>
    <row r="253" spans="1:13" x14ac:dyDescent="0.25">
      <c r="A253" t="s">
        <v>200</v>
      </c>
      <c r="B253">
        <v>2</v>
      </c>
      <c r="C253" t="s">
        <v>36</v>
      </c>
      <c r="D253" t="s">
        <v>223</v>
      </c>
      <c r="E253" t="s">
        <v>224</v>
      </c>
      <c r="F253" s="1">
        <v>1.5046296296296297E-5</v>
      </c>
      <c r="G253" t="s">
        <v>16</v>
      </c>
      <c r="H253">
        <v>3</v>
      </c>
      <c r="I253">
        <v>139</v>
      </c>
      <c r="J253">
        <v>142</v>
      </c>
      <c r="L253" t="s">
        <v>17</v>
      </c>
      <c r="M253" s="3">
        <f t="shared" si="30"/>
        <v>1.3440004549920559</v>
      </c>
    </row>
    <row r="254" spans="1:13" x14ac:dyDescent="0.25">
      <c r="A254" t="s">
        <v>200</v>
      </c>
      <c r="B254">
        <v>3</v>
      </c>
      <c r="C254" t="s">
        <v>36</v>
      </c>
      <c r="D254" t="s">
        <v>225</v>
      </c>
      <c r="E254" t="s">
        <v>226</v>
      </c>
      <c r="F254" s="1">
        <v>1.5046296296296297E-5</v>
      </c>
      <c r="G254" t="s">
        <v>16</v>
      </c>
      <c r="H254">
        <v>3</v>
      </c>
      <c r="I254">
        <v>139</v>
      </c>
      <c r="J254">
        <v>142</v>
      </c>
      <c r="L254" t="s">
        <v>17</v>
      </c>
      <c r="M254" s="3">
        <f t="shared" si="30"/>
        <v>1.2680000625550747</v>
      </c>
    </row>
    <row r="255" spans="1:13" x14ac:dyDescent="0.25">
      <c r="A255" t="s">
        <v>200</v>
      </c>
      <c r="B255">
        <v>4</v>
      </c>
      <c r="C255" t="s">
        <v>36</v>
      </c>
      <c r="D255" t="s">
        <v>227</v>
      </c>
      <c r="E255" t="s">
        <v>228</v>
      </c>
      <c r="F255" s="1">
        <v>2.199074074074074E-5</v>
      </c>
      <c r="G255" t="s">
        <v>16</v>
      </c>
      <c r="H255">
        <v>3</v>
      </c>
      <c r="I255">
        <v>139</v>
      </c>
      <c r="J255">
        <v>142</v>
      </c>
      <c r="L255" t="s">
        <v>17</v>
      </c>
      <c r="M255" s="3">
        <f t="shared" si="30"/>
        <v>1.934999437071383</v>
      </c>
    </row>
    <row r="256" spans="1:13" x14ac:dyDescent="0.25">
      <c r="A256" t="s">
        <v>200</v>
      </c>
      <c r="B256">
        <v>5</v>
      </c>
      <c r="C256" t="s">
        <v>36</v>
      </c>
      <c r="D256" t="s">
        <v>229</v>
      </c>
      <c r="E256" t="s">
        <v>230</v>
      </c>
      <c r="F256" s="1">
        <v>1.5046296296296297E-5</v>
      </c>
      <c r="G256" t="s">
        <v>16</v>
      </c>
      <c r="H256">
        <v>3</v>
      </c>
      <c r="I256">
        <v>139</v>
      </c>
      <c r="J256">
        <v>142</v>
      </c>
      <c r="L256" t="s">
        <v>17</v>
      </c>
      <c r="M256" s="3">
        <f t="shared" si="30"/>
        <v>1.3240001862868667</v>
      </c>
    </row>
    <row r="257" spans="1:13" x14ac:dyDescent="0.25">
      <c r="A257" t="s">
        <v>200</v>
      </c>
      <c r="B257">
        <v>6</v>
      </c>
      <c r="C257" t="s">
        <v>36</v>
      </c>
      <c r="D257" t="s">
        <v>231</v>
      </c>
      <c r="E257" t="s">
        <v>232</v>
      </c>
      <c r="F257" s="1">
        <v>1.3888888888888888E-5</v>
      </c>
      <c r="G257" t="s">
        <v>16</v>
      </c>
      <c r="H257">
        <v>3</v>
      </c>
      <c r="I257">
        <v>139</v>
      </c>
      <c r="J257">
        <v>142</v>
      </c>
      <c r="L257" t="s">
        <v>17</v>
      </c>
      <c r="M257" s="3">
        <f t="shared" si="30"/>
        <v>1.2060001725330949</v>
      </c>
    </row>
    <row r="258" spans="1:13" x14ac:dyDescent="0.25">
      <c r="A258" t="s">
        <v>200</v>
      </c>
      <c r="B258">
        <v>7</v>
      </c>
      <c r="C258" t="s">
        <v>36</v>
      </c>
      <c r="D258" t="s">
        <v>233</v>
      </c>
      <c r="E258" t="s">
        <v>234</v>
      </c>
      <c r="F258" s="1">
        <v>1.7361111111111111E-5</v>
      </c>
      <c r="G258" t="s">
        <v>16</v>
      </c>
      <c r="H258">
        <v>3</v>
      </c>
      <c r="I258">
        <v>139</v>
      </c>
      <c r="J258">
        <v>142</v>
      </c>
      <c r="L258" t="s">
        <v>17</v>
      </c>
      <c r="M258" s="3">
        <f t="shared" si="30"/>
        <v>1.4860001625493169</v>
      </c>
    </row>
    <row r="259" spans="1:13" x14ac:dyDescent="0.25">
      <c r="A259" t="s">
        <v>200</v>
      </c>
      <c r="B259">
        <v>8</v>
      </c>
      <c r="C259" t="s">
        <v>36</v>
      </c>
      <c r="D259" t="s">
        <v>235</v>
      </c>
      <c r="E259" t="s">
        <v>236</v>
      </c>
      <c r="F259" s="1">
        <v>2.6620370370370369E-5</v>
      </c>
      <c r="G259" t="s">
        <v>16</v>
      </c>
      <c r="H259">
        <v>3</v>
      </c>
      <c r="I259">
        <v>139</v>
      </c>
      <c r="J259">
        <v>142</v>
      </c>
      <c r="L259" t="s">
        <v>17</v>
      </c>
      <c r="M259" s="3">
        <f t="shared" ref="M259:M301" si="31">(SUBSTITUTE(LEFT(E259,23),"T"," ")-SUBSTITUTE(LEFT(D259,23),"T"," "))*86400</f>
        <v>2.296000043861568</v>
      </c>
    </row>
    <row r="260" spans="1:13" x14ac:dyDescent="0.25">
      <c r="A260" t="s">
        <v>200</v>
      </c>
      <c r="B260">
        <v>9</v>
      </c>
      <c r="C260" t="s">
        <v>36</v>
      </c>
      <c r="D260" t="s">
        <v>237</v>
      </c>
      <c r="E260" t="s">
        <v>238</v>
      </c>
      <c r="F260" s="1">
        <v>1.5046296296296297E-5</v>
      </c>
      <c r="G260" t="s">
        <v>16</v>
      </c>
      <c r="H260">
        <v>3</v>
      </c>
      <c r="I260">
        <v>139</v>
      </c>
      <c r="J260">
        <v>142</v>
      </c>
      <c r="L260" t="s">
        <v>17</v>
      </c>
      <c r="M260" s="3">
        <f t="shared" si="31"/>
        <v>1.3090001419186592</v>
      </c>
    </row>
    <row r="261" spans="1:13" x14ac:dyDescent="0.25">
      <c r="A261" t="s">
        <v>200</v>
      </c>
      <c r="B261">
        <v>10</v>
      </c>
      <c r="C261" t="s">
        <v>36</v>
      </c>
      <c r="D261" t="s">
        <v>239</v>
      </c>
      <c r="E261" t="s">
        <v>240</v>
      </c>
      <c r="F261" s="1">
        <v>1.5046296296296297E-5</v>
      </c>
      <c r="G261" t="s">
        <v>16</v>
      </c>
      <c r="H261">
        <v>3</v>
      </c>
      <c r="I261">
        <v>139</v>
      </c>
      <c r="J261">
        <v>142</v>
      </c>
      <c r="L261" t="s">
        <v>17</v>
      </c>
      <c r="M261" s="3">
        <f t="shared" si="31"/>
        <v>1.3440004549920559</v>
      </c>
    </row>
    <row r="262" spans="1:13" x14ac:dyDescent="0.25">
      <c r="A262" t="s">
        <v>200</v>
      </c>
      <c r="B262">
        <v>1</v>
      </c>
      <c r="C262" t="s">
        <v>57</v>
      </c>
      <c r="D262" t="s">
        <v>241</v>
      </c>
      <c r="E262" t="s">
        <v>242</v>
      </c>
      <c r="F262" s="1">
        <v>1.3888888888888888E-5</v>
      </c>
      <c r="G262" t="s">
        <v>16</v>
      </c>
      <c r="H262">
        <v>3</v>
      </c>
      <c r="I262">
        <v>101</v>
      </c>
      <c r="J262">
        <v>104</v>
      </c>
      <c r="L262" t="s">
        <v>17</v>
      </c>
      <c r="M262" s="3">
        <f t="shared" si="31"/>
        <v>1.2469996232539415</v>
      </c>
    </row>
    <row r="263" spans="1:13" x14ac:dyDescent="0.25">
      <c r="A263" t="s">
        <v>200</v>
      </c>
      <c r="B263">
        <v>2</v>
      </c>
      <c r="C263" t="s">
        <v>57</v>
      </c>
      <c r="D263" t="s">
        <v>243</v>
      </c>
      <c r="E263" t="s">
        <v>244</v>
      </c>
      <c r="F263" s="1">
        <v>2.3148148148148147E-5</v>
      </c>
      <c r="G263" t="s">
        <v>16</v>
      </c>
      <c r="H263">
        <v>3</v>
      </c>
      <c r="I263">
        <v>101</v>
      </c>
      <c r="J263">
        <v>104</v>
      </c>
      <c r="L263" t="s">
        <v>17</v>
      </c>
      <c r="M263" s="3">
        <f t="shared" si="31"/>
        <v>1.988999848254025</v>
      </c>
    </row>
    <row r="264" spans="1:13" x14ac:dyDescent="0.25">
      <c r="A264" t="s">
        <v>200</v>
      </c>
      <c r="B264">
        <v>3</v>
      </c>
      <c r="C264" t="s">
        <v>57</v>
      </c>
      <c r="D264" t="s">
        <v>245</v>
      </c>
      <c r="E264" t="s">
        <v>246</v>
      </c>
      <c r="F264" s="1">
        <v>1.2731481481481482E-5</v>
      </c>
      <c r="G264" t="s">
        <v>16</v>
      </c>
      <c r="H264">
        <v>3</v>
      </c>
      <c r="I264">
        <v>101</v>
      </c>
      <c r="J264">
        <v>104</v>
      </c>
      <c r="L264" t="s">
        <v>17</v>
      </c>
      <c r="M264" s="3">
        <f t="shared" si="31"/>
        <v>1.1139995651319623</v>
      </c>
    </row>
    <row r="265" spans="1:13" x14ac:dyDescent="0.25">
      <c r="A265" t="s">
        <v>200</v>
      </c>
      <c r="B265">
        <v>4</v>
      </c>
      <c r="C265" t="s">
        <v>57</v>
      </c>
      <c r="D265" t="s">
        <v>247</v>
      </c>
      <c r="E265" t="s">
        <v>248</v>
      </c>
      <c r="F265" s="1">
        <v>1.6203703703703704E-5</v>
      </c>
      <c r="G265" t="s">
        <v>16</v>
      </c>
      <c r="H265">
        <v>3</v>
      </c>
      <c r="I265">
        <v>101</v>
      </c>
      <c r="J265">
        <v>104</v>
      </c>
      <c r="L265" t="s">
        <v>17</v>
      </c>
      <c r="M265" s="3">
        <f t="shared" si="31"/>
        <v>1.3920004712417722</v>
      </c>
    </row>
    <row r="266" spans="1:13" x14ac:dyDescent="0.25">
      <c r="A266" t="s">
        <v>200</v>
      </c>
      <c r="B266">
        <v>5</v>
      </c>
      <c r="C266" t="s">
        <v>57</v>
      </c>
      <c r="D266" t="s">
        <v>249</v>
      </c>
      <c r="E266" t="s">
        <v>250</v>
      </c>
      <c r="F266" s="1">
        <v>1.6203703703703704E-5</v>
      </c>
      <c r="G266" t="s">
        <v>16</v>
      </c>
      <c r="H266">
        <v>3</v>
      </c>
      <c r="I266">
        <v>101</v>
      </c>
      <c r="J266">
        <v>104</v>
      </c>
      <c r="L266" t="s">
        <v>17</v>
      </c>
      <c r="M266" s="3">
        <f t="shared" si="31"/>
        <v>1.4450000831857324</v>
      </c>
    </row>
    <row r="267" spans="1:13" x14ac:dyDescent="0.25">
      <c r="A267" t="s">
        <v>200</v>
      </c>
      <c r="B267">
        <v>6</v>
      </c>
      <c r="C267" t="s">
        <v>57</v>
      </c>
      <c r="D267" t="s">
        <v>251</v>
      </c>
      <c r="E267" t="s">
        <v>252</v>
      </c>
      <c r="F267" s="1">
        <v>1.3888888888888888E-5</v>
      </c>
      <c r="G267" t="s">
        <v>16</v>
      </c>
      <c r="H267">
        <v>3</v>
      </c>
      <c r="I267">
        <v>101</v>
      </c>
      <c r="J267">
        <v>104</v>
      </c>
      <c r="L267" t="s">
        <v>17</v>
      </c>
      <c r="M267" s="3">
        <f t="shared" si="31"/>
        <v>1.1899999575689435</v>
      </c>
    </row>
    <row r="268" spans="1:13" x14ac:dyDescent="0.25">
      <c r="A268" t="s">
        <v>200</v>
      </c>
      <c r="B268">
        <v>7</v>
      </c>
      <c r="C268" t="s">
        <v>57</v>
      </c>
      <c r="D268" t="s">
        <v>253</v>
      </c>
      <c r="E268" t="s">
        <v>254</v>
      </c>
      <c r="F268" s="1">
        <v>1.7361111111111111E-5</v>
      </c>
      <c r="G268" t="s">
        <v>16</v>
      </c>
      <c r="H268">
        <v>3</v>
      </c>
      <c r="I268">
        <v>101</v>
      </c>
      <c r="J268">
        <v>104</v>
      </c>
      <c r="L268" t="s">
        <v>17</v>
      </c>
      <c r="M268" s="3">
        <f t="shared" si="31"/>
        <v>1.4940002700313926</v>
      </c>
    </row>
    <row r="269" spans="1:13" x14ac:dyDescent="0.25">
      <c r="A269" t="s">
        <v>200</v>
      </c>
      <c r="B269">
        <v>8</v>
      </c>
      <c r="C269" t="s">
        <v>57</v>
      </c>
      <c r="D269" t="s">
        <v>255</v>
      </c>
      <c r="E269" t="s">
        <v>256</v>
      </c>
      <c r="F269" s="1">
        <v>1.8518518518518518E-5</v>
      </c>
      <c r="G269" t="s">
        <v>16</v>
      </c>
      <c r="H269">
        <v>3</v>
      </c>
      <c r="I269">
        <v>101</v>
      </c>
      <c r="J269">
        <v>104</v>
      </c>
      <c r="L269" t="s">
        <v>17</v>
      </c>
      <c r="M269" s="3">
        <f t="shared" si="31"/>
        <v>1.5980004100129008</v>
      </c>
    </row>
    <row r="270" spans="1:13" x14ac:dyDescent="0.25">
      <c r="A270" t="s">
        <v>200</v>
      </c>
      <c r="B270">
        <v>9</v>
      </c>
      <c r="C270" t="s">
        <v>57</v>
      </c>
      <c r="D270" t="s">
        <v>257</v>
      </c>
      <c r="E270" t="s">
        <v>258</v>
      </c>
      <c r="F270" s="1">
        <v>1.5046296296296297E-5</v>
      </c>
      <c r="G270" t="s">
        <v>16</v>
      </c>
      <c r="H270">
        <v>3</v>
      </c>
      <c r="I270">
        <v>101</v>
      </c>
      <c r="J270">
        <v>104</v>
      </c>
      <c r="L270" t="s">
        <v>17</v>
      </c>
      <c r="M270" s="3">
        <f t="shared" si="31"/>
        <v>1.2819999363273382</v>
      </c>
    </row>
    <row r="271" spans="1:13" x14ac:dyDescent="0.25">
      <c r="A271" t="s">
        <v>200</v>
      </c>
      <c r="B271">
        <v>10</v>
      </c>
      <c r="C271" t="s">
        <v>57</v>
      </c>
      <c r="D271" t="s">
        <v>259</v>
      </c>
      <c r="E271" t="s">
        <v>260</v>
      </c>
      <c r="F271" s="1">
        <v>2.6620370370370369E-5</v>
      </c>
      <c r="G271" t="s">
        <v>16</v>
      </c>
      <c r="H271">
        <v>3</v>
      </c>
      <c r="I271">
        <v>101</v>
      </c>
      <c r="J271">
        <v>104</v>
      </c>
      <c r="L271" t="s">
        <v>17</v>
      </c>
      <c r="M271" s="3">
        <f t="shared" si="31"/>
        <v>2.0270000444725156</v>
      </c>
    </row>
    <row r="272" spans="1:13" x14ac:dyDescent="0.25">
      <c r="A272" t="s">
        <v>261</v>
      </c>
      <c r="B272">
        <v>1</v>
      </c>
      <c r="C272" t="s">
        <v>13</v>
      </c>
      <c r="D272" t="s">
        <v>262</v>
      </c>
      <c r="E272" t="s">
        <v>263</v>
      </c>
      <c r="F272" s="1">
        <v>2.6620370370370369E-5</v>
      </c>
      <c r="G272" t="s">
        <v>16</v>
      </c>
      <c r="H272">
        <v>3</v>
      </c>
      <c r="I272">
        <v>91</v>
      </c>
      <c r="J272">
        <v>94</v>
      </c>
      <c r="L272" t="s">
        <v>17</v>
      </c>
      <c r="M272" s="3">
        <f t="shared" si="31"/>
        <v>2.0309994695708156</v>
      </c>
    </row>
    <row r="273" spans="1:13" x14ac:dyDescent="0.25">
      <c r="A273" t="s">
        <v>261</v>
      </c>
      <c r="B273">
        <v>2</v>
      </c>
      <c r="C273" t="s">
        <v>13</v>
      </c>
      <c r="D273" t="s">
        <v>264</v>
      </c>
      <c r="E273" t="s">
        <v>265</v>
      </c>
      <c r="F273" s="1">
        <v>1.9675925925925925E-5</v>
      </c>
      <c r="G273" t="s">
        <v>16</v>
      </c>
      <c r="H273">
        <v>3</v>
      </c>
      <c r="I273">
        <v>91</v>
      </c>
      <c r="J273">
        <v>94</v>
      </c>
      <c r="L273" t="s">
        <v>17</v>
      </c>
      <c r="M273" s="3">
        <f t="shared" si="31"/>
        <v>1.7380004050210118</v>
      </c>
    </row>
    <row r="274" spans="1:13" x14ac:dyDescent="0.25">
      <c r="A274" t="s">
        <v>261</v>
      </c>
      <c r="B274">
        <v>3</v>
      </c>
      <c r="C274" t="s">
        <v>13</v>
      </c>
      <c r="D274" t="s">
        <v>266</v>
      </c>
      <c r="E274" t="s">
        <v>267</v>
      </c>
      <c r="F274" s="1">
        <v>1.9675925925925925E-5</v>
      </c>
      <c r="G274" t="s">
        <v>16</v>
      </c>
      <c r="H274">
        <v>3</v>
      </c>
      <c r="I274">
        <v>91</v>
      </c>
      <c r="J274">
        <v>94</v>
      </c>
      <c r="L274" t="s">
        <v>17</v>
      </c>
      <c r="M274" s="3">
        <f t="shared" si="31"/>
        <v>1.7330001806840301</v>
      </c>
    </row>
    <row r="275" spans="1:13" x14ac:dyDescent="0.25">
      <c r="A275" t="s">
        <v>261</v>
      </c>
      <c r="B275">
        <v>4</v>
      </c>
      <c r="C275" t="s">
        <v>13</v>
      </c>
      <c r="D275" t="s">
        <v>268</v>
      </c>
      <c r="E275" t="s">
        <v>269</v>
      </c>
      <c r="F275" s="1">
        <v>3.2407407407407408E-5</v>
      </c>
      <c r="G275" t="s">
        <v>16</v>
      </c>
      <c r="H275">
        <v>3</v>
      </c>
      <c r="I275">
        <v>91</v>
      </c>
      <c r="J275">
        <v>94</v>
      </c>
      <c r="L275" t="s">
        <v>17</v>
      </c>
      <c r="M275" s="3">
        <f t="shared" si="31"/>
        <v>2.0829995395615697</v>
      </c>
    </row>
    <row r="276" spans="1:13" x14ac:dyDescent="0.25">
      <c r="A276" t="s">
        <v>261</v>
      </c>
      <c r="B276">
        <v>5</v>
      </c>
      <c r="C276" t="s">
        <v>13</v>
      </c>
      <c r="D276" t="s">
        <v>270</v>
      </c>
      <c r="E276" t="s">
        <v>271</v>
      </c>
      <c r="F276" s="1">
        <v>1.9675925925925925E-5</v>
      </c>
      <c r="G276" t="s">
        <v>16</v>
      </c>
      <c r="H276">
        <v>3</v>
      </c>
      <c r="I276">
        <v>91</v>
      </c>
      <c r="J276">
        <v>94</v>
      </c>
      <c r="L276" t="s">
        <v>17</v>
      </c>
      <c r="M276" s="3">
        <f t="shared" si="31"/>
        <v>1.7320000100880861</v>
      </c>
    </row>
    <row r="277" spans="1:13" x14ac:dyDescent="0.25">
      <c r="A277" t="s">
        <v>261</v>
      </c>
      <c r="B277">
        <v>6</v>
      </c>
      <c r="C277" t="s">
        <v>13</v>
      </c>
      <c r="D277" t="s">
        <v>272</v>
      </c>
      <c r="E277" t="s">
        <v>273</v>
      </c>
      <c r="F277" s="1">
        <v>2.0833333333333333E-5</v>
      </c>
      <c r="G277" t="s">
        <v>16</v>
      </c>
      <c r="H277">
        <v>3</v>
      </c>
      <c r="I277">
        <v>91</v>
      </c>
      <c r="J277">
        <v>94</v>
      </c>
      <c r="L277" t="s">
        <v>17</v>
      </c>
      <c r="M277" s="3">
        <f t="shared" si="31"/>
        <v>1.7679998651146889</v>
      </c>
    </row>
    <row r="278" spans="1:13" x14ac:dyDescent="0.25">
      <c r="A278" t="s">
        <v>261</v>
      </c>
      <c r="B278">
        <v>7</v>
      </c>
      <c r="C278" t="s">
        <v>13</v>
      </c>
      <c r="D278" t="s">
        <v>274</v>
      </c>
      <c r="E278" t="s">
        <v>275</v>
      </c>
      <c r="F278" s="1">
        <v>2.199074074074074E-5</v>
      </c>
      <c r="G278" t="s">
        <v>16</v>
      </c>
      <c r="H278">
        <v>3</v>
      </c>
      <c r="I278">
        <v>91</v>
      </c>
      <c r="J278">
        <v>94</v>
      </c>
      <c r="L278" t="s">
        <v>17</v>
      </c>
      <c r="M278" s="3">
        <f t="shared" si="31"/>
        <v>1.9429995445534587</v>
      </c>
    </row>
    <row r="279" spans="1:13" x14ac:dyDescent="0.25">
      <c r="A279" t="s">
        <v>261</v>
      </c>
      <c r="B279">
        <v>8</v>
      </c>
      <c r="C279" t="s">
        <v>13</v>
      </c>
      <c r="D279" t="s">
        <v>276</v>
      </c>
      <c r="E279" t="s">
        <v>277</v>
      </c>
      <c r="F279" s="1">
        <v>3.1250000000000001E-5</v>
      </c>
      <c r="G279" t="s">
        <v>16</v>
      </c>
      <c r="H279">
        <v>3</v>
      </c>
      <c r="I279">
        <v>91</v>
      </c>
      <c r="J279">
        <v>94</v>
      </c>
      <c r="L279" t="s">
        <v>17</v>
      </c>
      <c r="M279" s="3">
        <f t="shared" si="31"/>
        <v>2.6840002276003361</v>
      </c>
    </row>
    <row r="280" spans="1:13" x14ac:dyDescent="0.25">
      <c r="A280" t="s">
        <v>261</v>
      </c>
      <c r="B280">
        <v>9</v>
      </c>
      <c r="C280" t="s">
        <v>13</v>
      </c>
      <c r="D280" t="s">
        <v>278</v>
      </c>
      <c r="E280" t="s">
        <v>279</v>
      </c>
      <c r="F280" s="1">
        <v>2.0833333333333333E-5</v>
      </c>
      <c r="G280" t="s">
        <v>16</v>
      </c>
      <c r="H280">
        <v>3</v>
      </c>
      <c r="I280">
        <v>91</v>
      </c>
      <c r="J280">
        <v>94</v>
      </c>
      <c r="L280" t="s">
        <v>17</v>
      </c>
      <c r="M280" s="3">
        <f t="shared" si="31"/>
        <v>1.8419999163597822</v>
      </c>
    </row>
    <row r="281" spans="1:13" x14ac:dyDescent="0.25">
      <c r="A281" t="s">
        <v>261</v>
      </c>
      <c r="B281">
        <v>10</v>
      </c>
      <c r="C281" t="s">
        <v>13</v>
      </c>
      <c r="D281" t="s">
        <v>280</v>
      </c>
      <c r="E281" t="s">
        <v>281</v>
      </c>
      <c r="F281" s="1">
        <v>2.3148148148148147E-5</v>
      </c>
      <c r="G281" t="s">
        <v>16</v>
      </c>
      <c r="H281">
        <v>3</v>
      </c>
      <c r="I281">
        <v>91</v>
      </c>
      <c r="J281">
        <v>94</v>
      </c>
      <c r="L281" t="s">
        <v>17</v>
      </c>
      <c r="M281" s="3">
        <f t="shared" si="31"/>
        <v>1.959999930113554</v>
      </c>
    </row>
    <row r="282" spans="1:13" x14ac:dyDescent="0.25">
      <c r="A282" t="s">
        <v>261</v>
      </c>
      <c r="B282">
        <v>1</v>
      </c>
      <c r="C282" t="s">
        <v>36</v>
      </c>
      <c r="D282" t="s">
        <v>282</v>
      </c>
      <c r="E282" t="s">
        <v>283</v>
      </c>
      <c r="F282" s="1">
        <v>2.0833333333333333E-5</v>
      </c>
      <c r="G282" t="s">
        <v>16</v>
      </c>
      <c r="H282">
        <v>3</v>
      </c>
      <c r="I282">
        <v>164</v>
      </c>
      <c r="J282">
        <v>167</v>
      </c>
      <c r="L282" t="s">
        <v>17</v>
      </c>
      <c r="M282" s="3">
        <f t="shared" si="31"/>
        <v>1.8390000332146883</v>
      </c>
    </row>
    <row r="283" spans="1:13" x14ac:dyDescent="0.25">
      <c r="A283" t="s">
        <v>261</v>
      </c>
      <c r="B283">
        <v>2</v>
      </c>
      <c r="C283" t="s">
        <v>36</v>
      </c>
      <c r="D283" t="s">
        <v>284</v>
      </c>
      <c r="E283" t="s">
        <v>285</v>
      </c>
      <c r="F283" s="1">
        <v>1.8518518518518518E-5</v>
      </c>
      <c r="G283" t="s">
        <v>16</v>
      </c>
      <c r="H283">
        <v>3</v>
      </c>
      <c r="I283">
        <v>164</v>
      </c>
      <c r="J283">
        <v>167</v>
      </c>
      <c r="L283" t="s">
        <v>17</v>
      </c>
      <c r="M283" s="3">
        <f t="shared" si="31"/>
        <v>1.6370001481845975</v>
      </c>
    </row>
    <row r="284" spans="1:13" x14ac:dyDescent="0.25">
      <c r="A284" t="s">
        <v>261</v>
      </c>
      <c r="B284">
        <v>3</v>
      </c>
      <c r="C284" t="s">
        <v>36</v>
      </c>
      <c r="D284" t="s">
        <v>286</v>
      </c>
      <c r="E284" t="s">
        <v>287</v>
      </c>
      <c r="F284" s="1">
        <v>1.9675925925925925E-5</v>
      </c>
      <c r="G284" t="s">
        <v>16</v>
      </c>
      <c r="H284">
        <v>3</v>
      </c>
      <c r="I284">
        <v>164</v>
      </c>
      <c r="J284">
        <v>167</v>
      </c>
      <c r="L284" t="s">
        <v>17</v>
      </c>
      <c r="M284" s="3">
        <f t="shared" si="31"/>
        <v>1.7040002625435591</v>
      </c>
    </row>
    <row r="285" spans="1:13" x14ac:dyDescent="0.25">
      <c r="A285" t="s">
        <v>261</v>
      </c>
      <c r="B285">
        <v>4</v>
      </c>
      <c r="C285" t="s">
        <v>36</v>
      </c>
      <c r="D285" t="s">
        <v>288</v>
      </c>
      <c r="E285" t="s">
        <v>289</v>
      </c>
      <c r="F285" s="1">
        <v>1.5046296296296297E-5</v>
      </c>
      <c r="G285" t="s">
        <v>16</v>
      </c>
      <c r="H285">
        <v>3</v>
      </c>
      <c r="I285">
        <v>164</v>
      </c>
      <c r="J285">
        <v>167</v>
      </c>
      <c r="L285" t="s">
        <v>17</v>
      </c>
      <c r="M285" s="3">
        <f t="shared" si="31"/>
        <v>1.2539995601400733</v>
      </c>
    </row>
    <row r="286" spans="1:13" x14ac:dyDescent="0.25">
      <c r="A286" t="s">
        <v>261</v>
      </c>
      <c r="B286">
        <v>5</v>
      </c>
      <c r="C286" t="s">
        <v>36</v>
      </c>
      <c r="D286" t="s">
        <v>290</v>
      </c>
      <c r="E286" t="s">
        <v>291</v>
      </c>
      <c r="F286" s="1">
        <v>1.3888888888888888E-5</v>
      </c>
      <c r="G286" t="s">
        <v>16</v>
      </c>
      <c r="H286">
        <v>3</v>
      </c>
      <c r="I286">
        <v>164</v>
      </c>
      <c r="J286">
        <v>167</v>
      </c>
      <c r="L286" t="s">
        <v>17</v>
      </c>
      <c r="M286" s="3">
        <f t="shared" si="31"/>
        <v>1.2189998757094145</v>
      </c>
    </row>
    <row r="287" spans="1:13" x14ac:dyDescent="0.25">
      <c r="A287" t="s">
        <v>261</v>
      </c>
      <c r="B287">
        <v>6</v>
      </c>
      <c r="C287" t="s">
        <v>36</v>
      </c>
      <c r="D287" t="s">
        <v>292</v>
      </c>
      <c r="E287" t="s">
        <v>293</v>
      </c>
      <c r="F287" s="1">
        <v>1.6203703703703704E-5</v>
      </c>
      <c r="G287" t="s">
        <v>16</v>
      </c>
      <c r="H287">
        <v>3</v>
      </c>
      <c r="I287">
        <v>164</v>
      </c>
      <c r="J287">
        <v>167</v>
      </c>
      <c r="L287" t="s">
        <v>17</v>
      </c>
      <c r="M287" s="3">
        <f t="shared" si="31"/>
        <v>1.4340000925585628</v>
      </c>
    </row>
    <row r="288" spans="1:13" x14ac:dyDescent="0.25">
      <c r="A288" t="s">
        <v>261</v>
      </c>
      <c r="B288">
        <v>7</v>
      </c>
      <c r="C288" t="s">
        <v>36</v>
      </c>
      <c r="D288" t="s">
        <v>294</v>
      </c>
      <c r="E288" t="s">
        <v>295</v>
      </c>
      <c r="F288" s="1">
        <v>2.0833333333333333E-5</v>
      </c>
      <c r="G288" t="s">
        <v>16</v>
      </c>
      <c r="H288">
        <v>3</v>
      </c>
      <c r="I288">
        <v>164</v>
      </c>
      <c r="J288">
        <v>167</v>
      </c>
      <c r="L288" t="s">
        <v>17</v>
      </c>
      <c r="M288" s="3">
        <f t="shared" si="31"/>
        <v>1.7800000263378024</v>
      </c>
    </row>
    <row r="289" spans="1:13" x14ac:dyDescent="0.25">
      <c r="A289" t="s">
        <v>261</v>
      </c>
      <c r="B289">
        <v>8</v>
      </c>
      <c r="C289" t="s">
        <v>36</v>
      </c>
      <c r="D289" t="s">
        <v>296</v>
      </c>
      <c r="E289" t="s">
        <v>297</v>
      </c>
      <c r="F289" s="1">
        <v>1.8518518518518518E-5</v>
      </c>
      <c r="G289" t="s">
        <v>16</v>
      </c>
      <c r="H289">
        <v>3</v>
      </c>
      <c r="I289">
        <v>164</v>
      </c>
      <c r="J289">
        <v>167</v>
      </c>
      <c r="L289" t="s">
        <v>17</v>
      </c>
      <c r="M289" s="3">
        <f t="shared" si="31"/>
        <v>1.5860002487897873</v>
      </c>
    </row>
    <row r="290" spans="1:13" x14ac:dyDescent="0.25">
      <c r="A290" t="s">
        <v>261</v>
      </c>
      <c r="B290">
        <v>9</v>
      </c>
      <c r="C290" t="s">
        <v>36</v>
      </c>
      <c r="D290" t="s">
        <v>298</v>
      </c>
      <c r="E290" t="s">
        <v>299</v>
      </c>
      <c r="F290" s="1">
        <v>1.3888888888888888E-5</v>
      </c>
      <c r="G290" t="s">
        <v>16</v>
      </c>
      <c r="H290">
        <v>3</v>
      </c>
      <c r="I290">
        <v>164</v>
      </c>
      <c r="J290">
        <v>167</v>
      </c>
      <c r="L290" t="s">
        <v>17</v>
      </c>
      <c r="M290" s="3">
        <f t="shared" si="31"/>
        <v>1.1999997776001692</v>
      </c>
    </row>
    <row r="291" spans="1:13" x14ac:dyDescent="0.25">
      <c r="A291" t="s">
        <v>261</v>
      </c>
      <c r="B291">
        <v>10</v>
      </c>
      <c r="C291" t="s">
        <v>36</v>
      </c>
      <c r="D291" t="s">
        <v>300</v>
      </c>
      <c r="E291" t="s">
        <v>301</v>
      </c>
      <c r="F291" s="1">
        <v>1.8518518518518518E-5</v>
      </c>
      <c r="G291" t="s">
        <v>16</v>
      </c>
      <c r="H291">
        <v>3</v>
      </c>
      <c r="I291">
        <v>164</v>
      </c>
      <c r="J291">
        <v>167</v>
      </c>
      <c r="L291" t="s">
        <v>17</v>
      </c>
      <c r="M291" s="3">
        <f t="shared" si="31"/>
        <v>1.5839999075978994</v>
      </c>
    </row>
    <row r="292" spans="1:13" x14ac:dyDescent="0.25">
      <c r="A292" t="s">
        <v>261</v>
      </c>
      <c r="B292">
        <v>1</v>
      </c>
      <c r="C292" t="s">
        <v>57</v>
      </c>
      <c r="D292" t="s">
        <v>302</v>
      </c>
      <c r="E292" t="s">
        <v>303</v>
      </c>
      <c r="F292" s="1">
        <v>1.7361111111111111E-5</v>
      </c>
      <c r="G292" t="s">
        <v>16</v>
      </c>
      <c r="H292">
        <v>3</v>
      </c>
      <c r="I292">
        <v>125</v>
      </c>
      <c r="J292">
        <v>128</v>
      </c>
      <c r="L292" t="s">
        <v>17</v>
      </c>
      <c r="M292" s="3">
        <f t="shared" si="31"/>
        <v>1.5189995057880878</v>
      </c>
    </row>
    <row r="293" spans="1:13" x14ac:dyDescent="0.25">
      <c r="A293" t="s">
        <v>261</v>
      </c>
      <c r="B293">
        <v>2</v>
      </c>
      <c r="C293" t="s">
        <v>57</v>
      </c>
      <c r="D293" t="s">
        <v>304</v>
      </c>
      <c r="E293" t="s">
        <v>305</v>
      </c>
      <c r="F293" s="1">
        <v>1.7361111111111111E-5</v>
      </c>
      <c r="G293" t="s">
        <v>16</v>
      </c>
      <c r="H293">
        <v>3</v>
      </c>
      <c r="I293">
        <v>125</v>
      </c>
      <c r="J293">
        <v>128</v>
      </c>
      <c r="L293" t="s">
        <v>17</v>
      </c>
      <c r="M293" s="3">
        <f t="shared" si="31"/>
        <v>1.4970001531764865</v>
      </c>
    </row>
    <row r="294" spans="1:13" x14ac:dyDescent="0.25">
      <c r="A294" t="s">
        <v>261</v>
      </c>
      <c r="B294">
        <v>3</v>
      </c>
      <c r="C294" t="s">
        <v>57</v>
      </c>
      <c r="D294" t="s">
        <v>306</v>
      </c>
      <c r="E294" t="s">
        <v>307</v>
      </c>
      <c r="F294" s="1">
        <v>1.7361111111111111E-5</v>
      </c>
      <c r="G294" t="s">
        <v>16</v>
      </c>
      <c r="H294">
        <v>3</v>
      </c>
      <c r="I294">
        <v>125</v>
      </c>
      <c r="J294">
        <v>128</v>
      </c>
      <c r="L294" t="s">
        <v>17</v>
      </c>
      <c r="M294" s="3">
        <f t="shared" si="31"/>
        <v>1.4980003237724304</v>
      </c>
    </row>
    <row r="295" spans="1:13" x14ac:dyDescent="0.25">
      <c r="A295" t="s">
        <v>261</v>
      </c>
      <c r="B295">
        <v>4</v>
      </c>
      <c r="C295" t="s">
        <v>57</v>
      </c>
      <c r="D295" t="s">
        <v>308</v>
      </c>
      <c r="E295" t="s">
        <v>309</v>
      </c>
      <c r="F295" s="1">
        <v>2.0833333333333333E-5</v>
      </c>
      <c r="G295" t="s">
        <v>16</v>
      </c>
      <c r="H295">
        <v>3</v>
      </c>
      <c r="I295">
        <v>125</v>
      </c>
      <c r="J295">
        <v>128</v>
      </c>
      <c r="L295" t="s">
        <v>17</v>
      </c>
      <c r="M295" s="3">
        <f t="shared" si="31"/>
        <v>1.792999729514122</v>
      </c>
    </row>
    <row r="296" spans="1:13" x14ac:dyDescent="0.25">
      <c r="A296" t="s">
        <v>261</v>
      </c>
      <c r="B296">
        <v>5</v>
      </c>
      <c r="C296" t="s">
        <v>57</v>
      </c>
      <c r="D296" t="s">
        <v>310</v>
      </c>
      <c r="E296" t="s">
        <v>311</v>
      </c>
      <c r="F296" s="1">
        <v>1.6203703703703704E-5</v>
      </c>
      <c r="G296" t="s">
        <v>16</v>
      </c>
      <c r="H296">
        <v>3</v>
      </c>
      <c r="I296">
        <v>125</v>
      </c>
      <c r="J296">
        <v>128</v>
      </c>
      <c r="L296" t="s">
        <v>17</v>
      </c>
      <c r="M296" s="3">
        <f t="shared" si="31"/>
        <v>1.3629999244585633</v>
      </c>
    </row>
    <row r="297" spans="1:13" x14ac:dyDescent="0.25">
      <c r="A297" t="s">
        <v>261</v>
      </c>
      <c r="B297">
        <v>6</v>
      </c>
      <c r="C297" t="s">
        <v>57</v>
      </c>
      <c r="D297" t="s">
        <v>312</v>
      </c>
      <c r="E297" t="s">
        <v>313</v>
      </c>
      <c r="F297" s="1">
        <v>1.3888888888888888E-5</v>
      </c>
      <c r="G297" t="s">
        <v>16</v>
      </c>
      <c r="H297">
        <v>3</v>
      </c>
      <c r="I297">
        <v>125</v>
      </c>
      <c r="J297">
        <v>128</v>
      </c>
      <c r="L297" t="s">
        <v>17</v>
      </c>
      <c r="M297" s="3">
        <f t="shared" si="31"/>
        <v>1.2379999738186598</v>
      </c>
    </row>
    <row r="298" spans="1:13" x14ac:dyDescent="0.25">
      <c r="A298" t="s">
        <v>261</v>
      </c>
      <c r="B298">
        <v>7</v>
      </c>
      <c r="C298" t="s">
        <v>57</v>
      </c>
      <c r="D298" t="s">
        <v>314</v>
      </c>
      <c r="E298" t="s">
        <v>315</v>
      </c>
      <c r="F298" s="1">
        <v>1.8518518518518518E-5</v>
      </c>
      <c r="G298" t="s">
        <v>16</v>
      </c>
      <c r="H298">
        <v>3</v>
      </c>
      <c r="I298">
        <v>125</v>
      </c>
      <c r="J298">
        <v>128</v>
      </c>
      <c r="L298" t="s">
        <v>17</v>
      </c>
      <c r="M298" s="3">
        <f t="shared" si="31"/>
        <v>1.5710002044215798</v>
      </c>
    </row>
    <row r="299" spans="1:13" x14ac:dyDescent="0.25">
      <c r="A299" t="s">
        <v>261</v>
      </c>
      <c r="B299">
        <v>8</v>
      </c>
      <c r="C299" t="s">
        <v>57</v>
      </c>
      <c r="D299" t="s">
        <v>316</v>
      </c>
      <c r="E299" t="s">
        <v>317</v>
      </c>
      <c r="F299" s="1">
        <v>1.5046296296296297E-5</v>
      </c>
      <c r="G299" t="s">
        <v>16</v>
      </c>
      <c r="H299">
        <v>3</v>
      </c>
      <c r="I299">
        <v>125</v>
      </c>
      <c r="J299">
        <v>128</v>
      </c>
      <c r="L299" t="s">
        <v>17</v>
      </c>
      <c r="M299" s="3">
        <f t="shared" si="31"/>
        <v>1.316000078804791</v>
      </c>
    </row>
    <row r="300" spans="1:13" x14ac:dyDescent="0.25">
      <c r="A300" t="s">
        <v>261</v>
      </c>
      <c r="B300">
        <v>9</v>
      </c>
      <c r="C300" t="s">
        <v>57</v>
      </c>
      <c r="D300" t="s">
        <v>318</v>
      </c>
      <c r="E300" t="s">
        <v>319</v>
      </c>
      <c r="F300" s="1">
        <v>1.8518518518518518E-5</v>
      </c>
      <c r="G300" t="s">
        <v>16</v>
      </c>
      <c r="H300">
        <v>3</v>
      </c>
      <c r="I300">
        <v>125</v>
      </c>
      <c r="J300">
        <v>128</v>
      </c>
      <c r="L300" t="s">
        <v>17</v>
      </c>
      <c r="M300" s="3">
        <f t="shared" si="31"/>
        <v>1.568999863229692</v>
      </c>
    </row>
    <row r="301" spans="1:13" x14ac:dyDescent="0.25">
      <c r="A301" t="s">
        <v>261</v>
      </c>
      <c r="B301">
        <v>10</v>
      </c>
      <c r="C301" t="s">
        <v>57</v>
      </c>
      <c r="D301" t="s">
        <v>320</v>
      </c>
      <c r="E301" t="s">
        <v>321</v>
      </c>
      <c r="F301" s="1">
        <v>1.5046296296296297E-5</v>
      </c>
      <c r="G301" t="s">
        <v>16</v>
      </c>
      <c r="H301">
        <v>3</v>
      </c>
      <c r="I301">
        <v>125</v>
      </c>
      <c r="J301">
        <v>128</v>
      </c>
      <c r="L301" t="s">
        <v>17</v>
      </c>
      <c r="M301" s="3">
        <f t="shared" si="31"/>
        <v>1.2709999457001686</v>
      </c>
    </row>
  </sheetData>
  <mergeCells count="45">
    <mergeCell ref="P5:R5"/>
    <mergeCell ref="U5:W5"/>
    <mergeCell ref="Z5:AB5"/>
    <mergeCell ref="AE5:AG5"/>
    <mergeCell ref="AJ5:AL5"/>
    <mergeCell ref="O3:R4"/>
    <mergeCell ref="T3:W4"/>
    <mergeCell ref="Y3:AB4"/>
    <mergeCell ref="AD3:AG4"/>
    <mergeCell ref="AI3:AL4"/>
    <mergeCell ref="P6:R6"/>
    <mergeCell ref="U6:W6"/>
    <mergeCell ref="Z6:AB6"/>
    <mergeCell ref="AE6:AG6"/>
    <mergeCell ref="AJ6:AL6"/>
    <mergeCell ref="O25:R25"/>
    <mergeCell ref="T25:W25"/>
    <mergeCell ref="Y25:AB25"/>
    <mergeCell ref="AD25:AG25"/>
    <mergeCell ref="AI25:AL25"/>
    <mergeCell ref="O26:Q26"/>
    <mergeCell ref="T26:V26"/>
    <mergeCell ref="Y26:AA26"/>
    <mergeCell ref="AD26:AF26"/>
    <mergeCell ref="AI26:AK26"/>
    <mergeCell ref="O27:Q27"/>
    <mergeCell ref="T27:V27"/>
    <mergeCell ref="Y27:AA27"/>
    <mergeCell ref="AD27:AF27"/>
    <mergeCell ref="AI27:AK27"/>
    <mergeCell ref="O30:R30"/>
    <mergeCell ref="Y30:AA30"/>
    <mergeCell ref="O28:Q28"/>
    <mergeCell ref="T28:V28"/>
    <mergeCell ref="Y28:AA28"/>
    <mergeCell ref="AN9:AO9"/>
    <mergeCell ref="T30:V30"/>
    <mergeCell ref="AD30:AH30"/>
    <mergeCell ref="Y42:AA42"/>
    <mergeCell ref="AI35:AJ35"/>
    <mergeCell ref="AC42:AE42"/>
    <mergeCell ref="Y34:AA34"/>
    <mergeCell ref="Y38:AA38"/>
    <mergeCell ref="AD28:AF28"/>
    <mergeCell ref="AI28:AK28"/>
  </mergeCells>
  <hyperlinks>
    <hyperlink ref="P6" r:id="rId1" display="claude-3-haiku@20240307" xr:uid="{A31FDF07-6EC5-4F6C-87CA-B9F873D47866}"/>
  </hyperlinks>
  <pageMargins left="0.7" right="0.7" top="0.75" bottom="0.75" header="0.3" footer="0.3"/>
  <pageSetup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76F2C-C613-4FE3-9A49-9C787C152FEC}">
  <dimension ref="A1:AO301"/>
  <sheetViews>
    <sheetView tabSelected="1" topLeftCell="I1" zoomScale="80" zoomScaleNormal="80" workbookViewId="0">
      <selection activeCell="S20" sqref="S20"/>
    </sheetView>
  </sheetViews>
  <sheetFormatPr defaultRowHeight="15" x14ac:dyDescent="0.25"/>
  <cols>
    <col min="1" max="1" width="24.5703125" bestFit="1" customWidth="1"/>
    <col min="2" max="2" width="8" bestFit="1" customWidth="1"/>
    <col min="3" max="3" width="14.28515625" bestFit="1" customWidth="1"/>
    <col min="4" max="5" width="28" bestFit="1" customWidth="1"/>
    <col min="6" max="6" width="11.140625" bestFit="1" customWidth="1"/>
    <col min="7" max="7" width="8.140625" bestFit="1" customWidth="1"/>
    <col min="8" max="8" width="18" bestFit="1" customWidth="1"/>
    <col min="9" max="9" width="14.28515625" bestFit="1" customWidth="1"/>
    <col min="10" max="10" width="11.7109375" bestFit="1" customWidth="1"/>
    <col min="11" max="11" width="5.85546875" bestFit="1" customWidth="1"/>
    <col min="12" max="12" width="6.7109375" bestFit="1" customWidth="1"/>
    <col min="13" max="13" width="17.28515625" bestFit="1" customWidth="1"/>
    <col min="15" max="15" width="25" bestFit="1" customWidth="1"/>
    <col min="16" max="16" width="14.28515625" bestFit="1" customWidth="1"/>
    <col min="17" max="18" width="9" bestFit="1" customWidth="1"/>
    <col min="20" max="20" width="23.7109375" bestFit="1" customWidth="1"/>
    <col min="21" max="21" width="19.85546875" bestFit="1" customWidth="1"/>
    <col min="22" max="22" width="19.140625" bestFit="1" customWidth="1"/>
    <col min="23" max="23" width="20.85546875" bestFit="1" customWidth="1"/>
    <col min="25" max="25" width="19.28515625" bestFit="1" customWidth="1"/>
    <col min="26" max="27" width="12" bestFit="1" customWidth="1"/>
    <col min="28" max="28" width="14.85546875" bestFit="1" customWidth="1"/>
    <col min="30" max="30" width="19.28515625" bestFit="1" customWidth="1"/>
    <col min="31" max="31" width="9.28515625" bestFit="1" customWidth="1"/>
    <col min="32" max="32" width="10.140625" bestFit="1" customWidth="1"/>
    <col min="33" max="33" width="9" bestFit="1" customWidth="1"/>
    <col min="34" max="34" width="13.5703125" customWidth="1"/>
    <col min="35" max="35" width="19.28515625" bestFit="1" customWidth="1"/>
    <col min="36" max="36" width="9.28515625" bestFit="1" customWidth="1"/>
    <col min="37" max="38" width="9" bestFit="1" customWidth="1"/>
    <col min="40" max="40" width="24.140625" bestFit="1" customWidth="1"/>
    <col min="41" max="41" width="10" bestFit="1" customWidth="1"/>
  </cols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390</v>
      </c>
    </row>
    <row r="2" spans="1:41" ht="15.75" thickBot="1" x14ac:dyDescent="0.3">
      <c r="A2" t="s">
        <v>12</v>
      </c>
      <c r="B2">
        <v>1</v>
      </c>
      <c r="C2" t="s">
        <v>13</v>
      </c>
      <c r="D2" t="s">
        <v>322</v>
      </c>
      <c r="E2" t="s">
        <v>323</v>
      </c>
      <c r="F2" s="1">
        <v>1.5046296296296297E-5</v>
      </c>
      <c r="G2" t="s">
        <v>16</v>
      </c>
      <c r="H2">
        <v>5</v>
      </c>
      <c r="I2">
        <v>81</v>
      </c>
      <c r="J2">
        <v>86</v>
      </c>
      <c r="L2" t="s">
        <v>17</v>
      </c>
      <c r="M2" s="3">
        <f>(SUBSTITUTE(LEFT(E2,23),"T"," ")-SUBSTITUTE(LEFT(D2,23),"T"," "))*86400</f>
        <v>1.0330002056434751</v>
      </c>
    </row>
    <row r="3" spans="1:41" ht="15" customHeight="1" x14ac:dyDescent="0.25">
      <c r="A3" t="s">
        <v>12</v>
      </c>
      <c r="B3">
        <v>2</v>
      </c>
      <c r="C3" t="s">
        <v>13</v>
      </c>
      <c r="D3" t="s">
        <v>324</v>
      </c>
      <c r="E3" t="s">
        <v>325</v>
      </c>
      <c r="F3" s="1">
        <v>1.1574074074074073E-5</v>
      </c>
      <c r="G3" t="s">
        <v>16</v>
      </c>
      <c r="H3">
        <v>5</v>
      </c>
      <c r="I3">
        <v>81</v>
      </c>
      <c r="J3">
        <v>86</v>
      </c>
      <c r="L3" t="s">
        <v>17</v>
      </c>
      <c r="M3" s="3">
        <f t="shared" ref="M3:M66" si="0">(SUBSTITUTE(LEFT(E3,23),"T"," ")-SUBSTITUTE(LEFT(D3,23),"T"," "))*86400</f>
        <v>0.98500018939375877</v>
      </c>
      <c r="O3" s="39" t="s">
        <v>139</v>
      </c>
      <c r="P3" s="40"/>
      <c r="Q3" s="40"/>
      <c r="R3" s="41"/>
      <c r="T3" s="26" t="str">
        <f>O3 &amp; "
All Runs Mar 3, 2026 Detailed Analysis"</f>
        <v>gemini-2.0-flash@001
All Runs Mar 3, 2026 Detailed Analysis</v>
      </c>
      <c r="U3" s="27"/>
      <c r="V3" s="27"/>
      <c r="W3" s="28"/>
      <c r="Y3" s="26" t="str">
        <f>O3 &amp; "
Stable Runs (2-9) Mar 3, 2026 "</f>
        <v xml:space="preserve">gemini-2.0-flash@001
Stable Runs (2-9) Mar 3, 2026 </v>
      </c>
      <c r="Z3" s="27"/>
      <c r="AA3" s="27"/>
      <c r="AB3" s="28"/>
      <c r="AD3" s="48" t="str">
        <f>O3 &amp; "
All Runs Mar 5, 2026 Detailed Analysis"</f>
        <v>gemini-2.0-flash@001
All Runs Mar 5, 2026 Detailed Analysis</v>
      </c>
      <c r="AE3" s="49"/>
      <c r="AF3" s="49"/>
      <c r="AG3" s="50"/>
      <c r="AI3" s="26" t="str">
        <f>O3 &amp; "
Stable Runs (2-9) Mar 5, 2026 "</f>
        <v xml:space="preserve">gemini-2.0-flash@001
Stable Runs (2-9) Mar 5, 2026 </v>
      </c>
      <c r="AJ3" s="27"/>
      <c r="AK3" s="27"/>
      <c r="AL3" s="28"/>
    </row>
    <row r="4" spans="1:41" ht="15.75" thickBot="1" x14ac:dyDescent="0.3">
      <c r="A4" t="s">
        <v>12</v>
      </c>
      <c r="B4">
        <v>3</v>
      </c>
      <c r="C4" t="s">
        <v>13</v>
      </c>
      <c r="D4" t="s">
        <v>326</v>
      </c>
      <c r="E4" t="s">
        <v>327</v>
      </c>
      <c r="F4" s="1">
        <v>2.0833333333333333E-5</v>
      </c>
      <c r="G4" t="s">
        <v>16</v>
      </c>
      <c r="H4">
        <v>5</v>
      </c>
      <c r="I4">
        <v>81</v>
      </c>
      <c r="J4">
        <v>86</v>
      </c>
      <c r="L4" t="s">
        <v>17</v>
      </c>
      <c r="M4" s="3">
        <f t="shared" si="0"/>
        <v>1.0829999344423413</v>
      </c>
      <c r="O4" s="42"/>
      <c r="P4" s="43"/>
      <c r="Q4" s="43"/>
      <c r="R4" s="44"/>
      <c r="T4" s="29"/>
      <c r="U4" s="30"/>
      <c r="V4" s="30"/>
      <c r="W4" s="31"/>
      <c r="Y4" s="29"/>
      <c r="Z4" s="30"/>
      <c r="AA4" s="30"/>
      <c r="AB4" s="31"/>
      <c r="AD4" s="51"/>
      <c r="AE4" s="52"/>
      <c r="AF4" s="52"/>
      <c r="AG4" s="53"/>
      <c r="AI4" s="29"/>
      <c r="AJ4" s="30"/>
      <c r="AK4" s="30"/>
      <c r="AL4" s="31"/>
    </row>
    <row r="5" spans="1:41" x14ac:dyDescent="0.25">
      <c r="A5" t="s">
        <v>12</v>
      </c>
      <c r="B5">
        <v>4</v>
      </c>
      <c r="C5" t="s">
        <v>13</v>
      </c>
      <c r="D5" t="s">
        <v>328</v>
      </c>
      <c r="E5" t="s">
        <v>329</v>
      </c>
      <c r="F5" s="1">
        <v>1.1574074074074073E-5</v>
      </c>
      <c r="G5" t="s">
        <v>16</v>
      </c>
      <c r="H5">
        <v>5</v>
      </c>
      <c r="I5">
        <v>81</v>
      </c>
      <c r="J5">
        <v>86</v>
      </c>
      <c r="L5" t="s">
        <v>17</v>
      </c>
      <c r="M5" s="3">
        <f t="shared" si="0"/>
        <v>0.96200003754347563</v>
      </c>
      <c r="O5" s="8"/>
      <c r="P5" s="45" t="s">
        <v>643</v>
      </c>
      <c r="Q5" s="45"/>
      <c r="R5" s="46"/>
      <c r="T5" s="13" t="s">
        <v>637</v>
      </c>
      <c r="U5" s="32" t="s">
        <v>639</v>
      </c>
      <c r="V5" s="32"/>
      <c r="W5" s="33"/>
      <c r="Y5" s="13" t="s">
        <v>637</v>
      </c>
      <c r="Z5" s="32" t="s">
        <v>639</v>
      </c>
      <c r="AA5" s="32"/>
      <c r="AB5" s="33"/>
      <c r="AD5" s="13" t="s">
        <v>637</v>
      </c>
      <c r="AE5" s="32" t="s">
        <v>642</v>
      </c>
      <c r="AF5" s="32"/>
      <c r="AG5" s="33"/>
      <c r="AI5" s="13" t="s">
        <v>637</v>
      </c>
      <c r="AJ5" s="32" t="s">
        <v>642</v>
      </c>
      <c r="AK5" s="32"/>
      <c r="AL5" s="33"/>
    </row>
    <row r="6" spans="1:41" x14ac:dyDescent="0.25">
      <c r="A6" t="s">
        <v>12</v>
      </c>
      <c r="B6">
        <v>5</v>
      </c>
      <c r="C6" t="s">
        <v>13</v>
      </c>
      <c r="D6" t="s">
        <v>330</v>
      </c>
      <c r="E6" t="s">
        <v>331</v>
      </c>
      <c r="F6" s="1">
        <v>1.3888888888888888E-5</v>
      </c>
      <c r="G6" t="s">
        <v>16</v>
      </c>
      <c r="H6">
        <v>5</v>
      </c>
      <c r="I6">
        <v>81</v>
      </c>
      <c r="J6">
        <v>86</v>
      </c>
      <c r="L6" t="s">
        <v>17</v>
      </c>
      <c r="M6" s="3">
        <f t="shared" si="0"/>
        <v>1.0150002781301737</v>
      </c>
      <c r="O6" s="9" t="s">
        <v>0</v>
      </c>
      <c r="P6" s="34" t="str">
        <f>O3</f>
        <v>gemini-2.0-flash@001</v>
      </c>
      <c r="Q6" s="34"/>
      <c r="R6" s="35"/>
      <c r="T6" s="9" t="s">
        <v>0</v>
      </c>
      <c r="U6" s="34" t="str">
        <f>P6</f>
        <v>gemini-2.0-flash@001</v>
      </c>
      <c r="V6" s="34"/>
      <c r="W6" s="35"/>
      <c r="Y6" s="9" t="s">
        <v>0</v>
      </c>
      <c r="Z6" s="34" t="str">
        <f>U6</f>
        <v>gemini-2.0-flash@001</v>
      </c>
      <c r="AA6" s="34"/>
      <c r="AB6" s="35"/>
      <c r="AD6" s="9" t="s">
        <v>0</v>
      </c>
      <c r="AE6" s="34" t="str">
        <f>Z6</f>
        <v>gemini-2.0-flash@001</v>
      </c>
      <c r="AF6" s="34"/>
      <c r="AG6" s="35"/>
      <c r="AI6" s="9" t="s">
        <v>0</v>
      </c>
      <c r="AJ6" s="34" t="str">
        <f>AE6</f>
        <v>gemini-2.0-flash@001</v>
      </c>
      <c r="AK6" s="34"/>
      <c r="AL6" s="35"/>
    </row>
    <row r="7" spans="1:41" ht="15.75" thickBot="1" x14ac:dyDescent="0.3">
      <c r="A7" t="s">
        <v>12</v>
      </c>
      <c r="B7">
        <v>6</v>
      </c>
      <c r="C7" t="s">
        <v>13</v>
      </c>
      <c r="D7" t="s">
        <v>332</v>
      </c>
      <c r="E7" t="s">
        <v>333</v>
      </c>
      <c r="F7" s="1">
        <v>1.1574074074074073E-5</v>
      </c>
      <c r="G7" t="s">
        <v>16</v>
      </c>
      <c r="H7">
        <v>5</v>
      </c>
      <c r="I7">
        <v>81</v>
      </c>
      <c r="J7">
        <v>86</v>
      </c>
      <c r="L7" t="s">
        <v>17</v>
      </c>
      <c r="M7" s="3">
        <f t="shared" si="0"/>
        <v>0.99999960511922836</v>
      </c>
      <c r="O7" s="10"/>
      <c r="P7" s="11"/>
      <c r="Q7" s="11"/>
      <c r="R7" s="12"/>
      <c r="T7" s="10"/>
      <c r="U7" s="11"/>
      <c r="V7" s="11"/>
      <c r="W7" s="12"/>
      <c r="Y7" s="14" t="s">
        <v>640</v>
      </c>
      <c r="Z7" s="11">
        <v>2</v>
      </c>
      <c r="AA7" s="15" t="s">
        <v>641</v>
      </c>
      <c r="AB7" s="12">
        <v>9</v>
      </c>
      <c r="AD7" s="10"/>
      <c r="AE7" s="11"/>
      <c r="AF7" s="11"/>
      <c r="AG7" s="12"/>
      <c r="AI7" s="14" t="s">
        <v>640</v>
      </c>
      <c r="AJ7" s="11">
        <v>2</v>
      </c>
      <c r="AK7" s="15" t="s">
        <v>641</v>
      </c>
      <c r="AL7" s="12">
        <v>9</v>
      </c>
    </row>
    <row r="8" spans="1:41" x14ac:dyDescent="0.25">
      <c r="A8" t="s">
        <v>12</v>
      </c>
      <c r="B8">
        <v>7</v>
      </c>
      <c r="C8" t="s">
        <v>13</v>
      </c>
      <c r="D8" t="s">
        <v>334</v>
      </c>
      <c r="E8" t="s">
        <v>335</v>
      </c>
      <c r="F8" s="1">
        <v>1.1574074074074073E-5</v>
      </c>
      <c r="G8" t="s">
        <v>16</v>
      </c>
      <c r="H8">
        <v>5</v>
      </c>
      <c r="I8">
        <v>81</v>
      </c>
      <c r="J8">
        <v>86</v>
      </c>
      <c r="L8" t="s">
        <v>17</v>
      </c>
      <c r="M8" s="3">
        <f t="shared" si="0"/>
        <v>0.97899979446083307</v>
      </c>
      <c r="O8" s="7" t="s">
        <v>638</v>
      </c>
      <c r="P8" s="7" t="s">
        <v>13</v>
      </c>
      <c r="Q8" s="7" t="s">
        <v>36</v>
      </c>
      <c r="R8" s="7" t="s">
        <v>57</v>
      </c>
      <c r="T8" s="7" t="s">
        <v>638</v>
      </c>
      <c r="U8" s="7" t="s">
        <v>13</v>
      </c>
      <c r="V8" s="7" t="s">
        <v>36</v>
      </c>
      <c r="W8" s="7" t="s">
        <v>57</v>
      </c>
      <c r="Y8" s="7" t="s">
        <v>638</v>
      </c>
      <c r="Z8" s="7" t="s">
        <v>13</v>
      </c>
      <c r="AA8" t="s">
        <v>36</v>
      </c>
      <c r="AB8" s="7" t="s">
        <v>57</v>
      </c>
      <c r="AD8" s="7" t="s">
        <v>638</v>
      </c>
      <c r="AE8" s="7" t="s">
        <v>13</v>
      </c>
      <c r="AF8" s="7" t="s">
        <v>36</v>
      </c>
      <c r="AG8" s="7" t="s">
        <v>57</v>
      </c>
      <c r="AI8" s="7" t="s">
        <v>638</v>
      </c>
      <c r="AJ8" s="7" t="s">
        <v>13</v>
      </c>
      <c r="AK8" t="s">
        <v>36</v>
      </c>
      <c r="AL8" s="7" t="s">
        <v>57</v>
      </c>
    </row>
    <row r="9" spans="1:41" x14ac:dyDescent="0.25">
      <c r="A9" t="s">
        <v>12</v>
      </c>
      <c r="B9">
        <v>8</v>
      </c>
      <c r="C9" t="s">
        <v>13</v>
      </c>
      <c r="D9" t="s">
        <v>336</v>
      </c>
      <c r="E9" t="s">
        <v>337</v>
      </c>
      <c r="F9" s="1">
        <v>1.3888888888888888E-5</v>
      </c>
      <c r="G9" t="s">
        <v>16</v>
      </c>
      <c r="H9">
        <v>5</v>
      </c>
      <c r="I9">
        <v>81</v>
      </c>
      <c r="J9">
        <v>86</v>
      </c>
      <c r="L9" t="s">
        <v>17</v>
      </c>
      <c r="M9" s="3">
        <f t="shared" si="0"/>
        <v>1.0160004487261176</v>
      </c>
      <c r="O9" t="s">
        <v>382</v>
      </c>
      <c r="P9" s="4" cm="1">
        <f t="array" ref="P9">ROUND(AVERAGE(_xlfn._xlws.FILTER($M$2:$M$1000, ($A$2:$A$1000=$P6) * ($C$2:$C$1000=P$8))),2)</f>
        <v>1.21</v>
      </c>
      <c r="Q9" s="4" cm="1">
        <f t="array" ref="Q9">ROUND(AVERAGE(_xlfn._xlws.FILTER($M$2:$M$1000, ($A$2:$A$1000=$P6) * ($C$2:$C$1000=Q$8))),2)</f>
        <v>1.2</v>
      </c>
      <c r="R9" s="4" cm="1">
        <f t="array" ref="R9">ROUND(AVERAGE(_xlfn._xlws.FILTER($M$2:$M$1000, ($A$2:$A$1000=$P6) * ($C$2:$C$1000=R$8))),2)</f>
        <v>1.1399999999999999</v>
      </c>
      <c r="T9" t="s">
        <v>382</v>
      </c>
      <c r="U9" s="4" cm="1">
        <f t="array" ref="U9">ROUND(AVERAGE(_xlfn._xlws.FILTER($M$2:$M$1000, ($A$2:$A$1000=$U6) * ($C$2:$C$1000=U$8) * (LEFT($D$2:$D$1000,10)=$U5))),2)</f>
        <v>1.19</v>
      </c>
      <c r="V9" s="4" cm="1">
        <f t="array" ref="V9">ROUND(AVERAGE(_xlfn._xlws.FILTER($M$2:$M$1000, ($A$2:$A$1000=$U6) * ($C$2:$C$1000=V$8) * (LEFT($D$2:$D$1000,10)=$U5))),2)</f>
        <v>1.1299999999999999</v>
      </c>
      <c r="W9" s="4" cm="1">
        <f t="array" ref="W9">ROUND(AVERAGE(_xlfn._xlws.FILTER($M$2:$M$1000, ($A$2:$A$1000=$U6) * ($C$2:$C$1000=W$8) * (LEFT($D$2:$D$1000,10)=$U5))),2)</f>
        <v>1.1299999999999999</v>
      </c>
      <c r="Y9" t="s">
        <v>382</v>
      </c>
      <c r="Z9" s="4" cm="1">
        <f t="array" ref="Z9">ROUND(AVERAGE(_xlfn._xlws.FILTER($M$2:$M$1000, ($A$2:$A$1000=$Z$6) * ($C$2:$C$1000=Z$8) * ($B$2:$B$1000&gt;=$Z$7) * ($B$2:$B$1000&lt;=$AB$7) * (LEFT($D$2:$D$1000,10)=$Z$5))),2)</f>
        <v>1.19</v>
      </c>
      <c r="AA9" s="4" cm="1">
        <f t="array" ref="AA9">ROUND(AVERAGE(_xlfn._xlws.FILTER($M$2:$M$1000, ($A$2:$A$1000=$Z$6) * ($C$2:$C$1000=AA$8) * ($B$2:$B$1000&gt;=$Z$7) * ($B$2:$B$1000&lt;=$AB$7) * (LEFT($D$2:$D$1000,10)=$Z$5))),2)</f>
        <v>1.1100000000000001</v>
      </c>
      <c r="AB9" s="4" cm="1">
        <f t="array" ref="AB9">ROUND(AVERAGE(_xlfn._xlws.FILTER($M$2:$M$1000, ($A$2:$A$1000=$Z$6) * ($C$2:$C$1000=AB$8) * ($B$2:$B$1000&gt;=$Z$7) * ($B$2:$B$1000&lt;=$AB$7) * (LEFT($D$2:$D$1000,10)=$Z$5))),2)</f>
        <v>1.1299999999999999</v>
      </c>
      <c r="AD9" t="s">
        <v>382</v>
      </c>
      <c r="AE9" s="4" cm="1">
        <f t="array" ref="AE9">ROUND(AVERAGE(_xlfn._xlws.FILTER($M$2:$M$1000, ($A$2:$A$1000=$AE6) * ($C$2:$C$1000=AE$8) * (LEFT($D$2:$D$1000,10)=$AE5))),2)</f>
        <v>1.23</v>
      </c>
      <c r="AF9" s="4" cm="1">
        <f t="array" ref="AF9">ROUND(AVERAGE(_xlfn._xlws.FILTER($M$2:$M$1000, ($A$2:$A$1000=$AE6) * ($C$2:$C$1000=AF$8) * (LEFT($D$2:$D$1000,10)=$AE5))),2)</f>
        <v>1.27</v>
      </c>
      <c r="AG9" s="4" cm="1">
        <f t="array" ref="AG9">ROUND(AVERAGE(_xlfn._xlws.FILTER($M$2:$M$1000, ($A$2:$A$1000=$AE6) * ($C$2:$C$1000=AG$8) * (LEFT($D$2:$D$1000,10)=$AE5))),2)</f>
        <v>1.1499999999999999</v>
      </c>
      <c r="AI9" t="s">
        <v>382</v>
      </c>
      <c r="AJ9" s="4" cm="1">
        <f t="array" ref="AJ9">ROUND(AVERAGE(_xlfn._xlws.FILTER($M$2:$M$1000, ($A$2:$A$1000=$AJ$6) * ($C$2:$C$1000=AJ$8) * ($B$2:$B$1000&gt;=$AJ$7) * ($B$2:$B$1000&lt;=$AL$7) * (LEFT($D$2:$D$1000,10)=$AJ$5))),2)</f>
        <v>1.23</v>
      </c>
      <c r="AK9" s="4" cm="1">
        <f t="array" ref="AK9">ROUND(AVERAGE(_xlfn._xlws.FILTER($M$2:$M$1000, ($A$2:$A$1000=$AJ$6) * ($C$2:$C$1000=AK$8) * ($B$2:$B$1000&gt;=$AJ$7) * ($B$2:$B$1000&lt;=$AL$7) * (LEFT($D$2:$D$1000,10)=$AJ$5))),2)</f>
        <v>1.28</v>
      </c>
      <c r="AL9" s="4" cm="1">
        <f t="array" ref="AL9">ROUND(AVERAGE(_xlfn._xlws.FILTER($M$2:$M$1000, ($A$2:$A$1000=$AJ$6) * ($C$2:$C$1000=AL$8) * ($B$2:$B$1000&gt;=$AJ$7) * ($B$2:$B$1000&lt;=$AL$7) * (LEFT($D$2:$D$1000,10)=$AJ$5))),2)</f>
        <v>1.1299999999999999</v>
      </c>
      <c r="AN9" s="23"/>
      <c r="AO9" s="23"/>
    </row>
    <row r="10" spans="1:41" x14ac:dyDescent="0.25">
      <c r="A10" t="s">
        <v>12</v>
      </c>
      <c r="B10">
        <v>9</v>
      </c>
      <c r="C10" t="s">
        <v>13</v>
      </c>
      <c r="D10" t="s">
        <v>338</v>
      </c>
      <c r="E10" t="s">
        <v>339</v>
      </c>
      <c r="F10" s="1">
        <v>1.3888888888888888E-5</v>
      </c>
      <c r="G10" t="s">
        <v>16</v>
      </c>
      <c r="H10">
        <v>5</v>
      </c>
      <c r="I10">
        <v>81</v>
      </c>
      <c r="J10">
        <v>86</v>
      </c>
      <c r="L10" t="s">
        <v>17</v>
      </c>
      <c r="M10" s="3">
        <f t="shared" si="0"/>
        <v>1.0180001612752676</v>
      </c>
      <c r="O10" t="s">
        <v>383</v>
      </c>
      <c r="P10" s="4" cm="1">
        <f t="array" ref="P10">ROUND(MEDIAN(IF(($A:$A=$P6)*($C:$C=P$8), $M:$M)),2)</f>
        <v>1.23</v>
      </c>
      <c r="Q10" s="4" cm="1">
        <f t="array" ref="Q10">ROUND(MEDIAN(IF(($A:$A=$P6)*($C:$C=Q$8), $M:$M)),2)</f>
        <v>1.19</v>
      </c>
      <c r="R10" s="4" cm="1">
        <f t="array" ref="R10">ROUND(MEDIAN(IF(($A:$A=$P6)*($C:$C=R$8), $M:$M)),2)</f>
        <v>1.1499999999999999</v>
      </c>
      <c r="T10" t="s">
        <v>383</v>
      </c>
      <c r="U10" s="4" cm="1">
        <f t="array" ref="U10">ROUND(MEDIAN(_xlfn._xlws.FILTER($M$2:$M$1000, ($A$2:$A$1000=$U6) * ($C$2:$C$1000=U$8) * (LEFT($D$2:$D$1000,10)=$U5))),2)</f>
        <v>1.21</v>
      </c>
      <c r="V10" s="4" cm="1">
        <f t="array" ref="V10">ROUND(MEDIAN(_xlfn._xlws.FILTER($M$2:$M$1000, ($A$2:$A$1000=$U6) * ($C$2:$C$1000=V$8) * (LEFT($D$2:$D$1000,10)=$U5))),2)</f>
        <v>1.1399999999999999</v>
      </c>
      <c r="W10" s="4" cm="1">
        <f t="array" ref="W10">ROUND(MEDIAN(_xlfn._xlws.FILTER($M$2:$M$1000, ($A$2:$A$1000=$U6) * ($C$2:$C$1000=W$8) * (LEFT($D$2:$D$1000,10)=$U5))),2)</f>
        <v>1.1299999999999999</v>
      </c>
      <c r="Y10" t="s">
        <v>383</v>
      </c>
      <c r="Z10" s="4" cm="1">
        <f t="array" ref="Z10">ROUND(MEDIAN(_xlfn._xlws.FILTER($M$2:$M$1000, ($A$2:$A$1000=$Z6) * ($C$2:$C$1000=Z$8) *  ($B$2:$B$1000&gt;=$Z$7) * ($B$2:$B$1000&lt;=$AB$7) * (LEFT($D$2:$D$1000,10)=$Z5))),2)</f>
        <v>1.21</v>
      </c>
      <c r="AA10" s="4" cm="1">
        <f t="array" ref="AA10">ROUND(MEDIAN(_xlfn._xlws.FILTER($M$2:$M$1000, ($A$2:$A$1000=$Z6) * ($C$2:$C$1000=AA$8) *  ($B$2:$B$1000&gt;=$Z$7) * ($B$2:$B$1000&lt;=$AB$7) * (LEFT($D$2:$D$1000,10)=$Z5))),2)</f>
        <v>1.1299999999999999</v>
      </c>
      <c r="AB10" s="4" cm="1">
        <f t="array" ref="AB10">ROUND(MEDIAN(_xlfn._xlws.FILTER($M$2:$M$1000, ($A$2:$A$1000=$Z6) * ($C$2:$C$1000=AB$8) *  ($B$2:$B$1000&gt;=$Z$7) * ($B$2:$B$1000&lt;=$AB$7) * (LEFT($D$2:$D$1000,10)=$Z5))),2)</f>
        <v>1.1299999999999999</v>
      </c>
      <c r="AD10" t="s">
        <v>383</v>
      </c>
      <c r="AE10" s="4" cm="1">
        <f t="array" ref="AE10">ROUND(MEDIAN(_xlfn._xlws.FILTER($M$2:$M$1000, ($A$2:$A$1000=$AE6) * ($C$2:$C$1000=AE$8) * (LEFT($D$2:$D$1000,10)=$AE5))),2)</f>
        <v>1.24</v>
      </c>
      <c r="AF10" s="4" cm="1">
        <f t="array" ref="AF10">ROUND(MEDIAN(_xlfn._xlws.FILTER($M$2:$M$1000, ($A$2:$A$1000=$AE6) * ($C$2:$C$1000=AF$8) * (LEFT($D$2:$D$1000,10)=$AE5))),2)</f>
        <v>1.26</v>
      </c>
      <c r="AG10" s="4" cm="1">
        <f t="array" ref="AG10">ROUND(MEDIAN(_xlfn._xlws.FILTER($M$2:$M$1000, ($A$2:$A$1000=$AE6) * ($C$2:$C$1000=AG$8) * (LEFT($D$2:$D$1000,10)=$AE5))),2)</f>
        <v>1.1599999999999999</v>
      </c>
      <c r="AI10" t="s">
        <v>383</v>
      </c>
      <c r="AJ10" s="4" cm="1">
        <f t="array" ref="AJ10">ROUND(MEDIAN(_xlfn._xlws.FILTER($M$2:$M$1000, ($A$2:$A$1000=$AJ6) * ($C$2:$C$1000=AJ$8) *  ($B$2:$B$1000&gt;=$AJ$7) * ($B$2:$B$1000&lt;=$AL$7) * (LEFT($D$2:$D$1000,10)=$AJ5))),2)</f>
        <v>1.24</v>
      </c>
      <c r="AK10" s="4" cm="1">
        <f t="array" ref="AK10">ROUND(MEDIAN(_xlfn._xlws.FILTER($M$2:$M$1000, ($A$2:$A$1000=$AJ6) * ($C$2:$C$1000=AK$8) *  ($B$2:$B$1000&gt;=$AJ$7) * ($B$2:$B$1000&lt;=$AL$7) * (LEFT($D$2:$D$1000,10)=$AJ5))),2)</f>
        <v>1.24</v>
      </c>
      <c r="AL10" s="4" cm="1">
        <f t="array" ref="AL10">ROUND(MEDIAN(_xlfn._xlws.FILTER($M$2:$M$1000, ($A$2:$A$1000=$AJ6) * ($C$2:$C$1000=AL$8) *  ($B$2:$B$1000&gt;=$AJ$7) * ($B$2:$B$1000&lt;=$AL$7) * (LEFT($D$2:$D$1000,10)=$AJ5))),2)</f>
        <v>1.1499999999999999</v>
      </c>
    </row>
    <row r="11" spans="1:41" x14ac:dyDescent="0.25">
      <c r="A11" t="s">
        <v>12</v>
      </c>
      <c r="B11">
        <v>10</v>
      </c>
      <c r="C11" t="s">
        <v>13</v>
      </c>
      <c r="D11" t="s">
        <v>340</v>
      </c>
      <c r="E11" t="s">
        <v>341</v>
      </c>
      <c r="F11" s="1">
        <v>1.7361111111111111E-5</v>
      </c>
      <c r="G11" t="s">
        <v>16</v>
      </c>
      <c r="H11">
        <v>5</v>
      </c>
      <c r="I11">
        <v>81</v>
      </c>
      <c r="J11">
        <v>86</v>
      </c>
      <c r="L11" t="s">
        <v>17</v>
      </c>
      <c r="M11" s="3">
        <f t="shared" si="0"/>
        <v>1.0459999088197947</v>
      </c>
      <c r="O11" t="s">
        <v>631</v>
      </c>
      <c r="P11" s="19" cm="1">
        <f t="array" ref="P11">ROUND(_xlfn.QUARTILE.INC(IF(($A:$A=$P6)*($C:$C=P$8),$M:$M),1),2)</f>
        <v>1.1399999999999999</v>
      </c>
      <c r="Q11" s="19" cm="1">
        <f t="array" ref="Q11">ROUND(_xlfn.QUARTILE.INC(IF(($A:$A=$P6)*($C:$C=Q$8),$M:$M),1),2)</f>
        <v>1.1299999999999999</v>
      </c>
      <c r="R11" s="19" cm="1">
        <f t="array" ref="R11">ROUND(_xlfn.QUARTILE.INC(IF(($A:$A=$P6)*($C:$C=R$8),$M:$M),1),2)</f>
        <v>1.1000000000000001</v>
      </c>
      <c r="T11" t="s">
        <v>631</v>
      </c>
      <c r="U11" s="4" cm="1">
        <f t="array" ref="U11">ROUND(_xlfn.QUARTILE.INC(_xlfn._xlws.FILTER($M$2:$M$1000, ($A$2:$A$1000=$U6) * ($C$2:$C$1000=U$8) * (LEFT($D$2:$D$1000,10)=$U5)), 1),2)</f>
        <v>1.1399999999999999</v>
      </c>
      <c r="V11" s="4" cm="1">
        <f t="array" ref="V11">ROUND(_xlfn.QUARTILE.INC(_xlfn._xlws.FILTER($M$2:$M$1000, ($A$2:$A$1000=$U6) * ($C$2:$C$1000=V$8) * (LEFT($D$2:$D$1000,10)=$U5)), 1),2)</f>
        <v>1.06</v>
      </c>
      <c r="W11" s="4" cm="1">
        <f t="array" ref="W11">ROUND(_xlfn.QUARTILE.INC(_xlfn._xlws.FILTER($M$2:$M$1000, ($A$2:$A$1000=$U6) * ($C$2:$C$1000=W$8) * (LEFT($D$2:$D$1000,10)=$U5)), 1),2)</f>
        <v>1.07</v>
      </c>
      <c r="Y11" t="s">
        <v>631</v>
      </c>
      <c r="Z11" s="4" cm="1">
        <f t="array" ref="Z11">ROUND(_xlfn.QUARTILE.INC(_xlfn._xlws.FILTER($M$2:$M$1000, ($A$2:$A$1000=$Z6) * ($C$2:$C$1000=Z$8) *  ($B$2:$B$1000&gt;=$Z$7) * ($B$2:$B$1000&lt;=$AB$7) * (LEFT($D$2:$D$1000,10)=$Z5)), 1),2)</f>
        <v>1.1200000000000001</v>
      </c>
      <c r="AA11" s="4" cm="1">
        <f t="array" ref="AA11">ROUND(_xlfn.QUARTILE.INC(_xlfn._xlws.FILTER($M$2:$M$1000, ($A$2:$A$1000=$Z6) * ($C$2:$C$1000=AA$8) *  ($B$2:$B$1000&gt;=$Z$7) * ($B$2:$B$1000&lt;=$AB$7) * (LEFT($D$2:$D$1000,10)=$Z5)), 1),2)</f>
        <v>1.03</v>
      </c>
      <c r="AB11" s="4" cm="1">
        <f t="array" ref="AB11">ROUND(_xlfn.QUARTILE.INC(_xlfn._xlws.FILTER($M$2:$M$1000, ($A$2:$A$1000=$Z6) * ($C$2:$C$1000=AB$8) *  ($B$2:$B$1000&gt;=$Z$7) * ($B$2:$B$1000&lt;=$AB$7) * (LEFT($D$2:$D$1000,10)=$Z5)), 1),2)</f>
        <v>1.1100000000000001</v>
      </c>
      <c r="AD11" t="s">
        <v>631</v>
      </c>
      <c r="AE11" s="4" cm="1">
        <f t="array" ref="AE11">ROUND(_xlfn.QUARTILE.INC(_xlfn._xlws.FILTER($M$2:$M$1000, ($A$2:$A$1000=$AE6) * ($C$2:$C$1000=AE$8) * (LEFT($D$2:$D$1000,10)=$AE5)), 1),2)</f>
        <v>1.1599999999999999</v>
      </c>
      <c r="AF11" s="4" cm="1">
        <f t="array" ref="AF11">ROUND(_xlfn.QUARTILE.INC(_xlfn._xlws.FILTER($M$2:$M$1000, ($A$2:$A$1000=$AE6) * ($C$2:$C$1000=AF$8) * (LEFT($D$2:$D$1000,10)=$AE5)), 1),2)</f>
        <v>1.19</v>
      </c>
      <c r="AG11" s="4" cm="1">
        <f t="array" ref="AG11">ROUND(_xlfn.QUARTILE.INC(_xlfn._xlws.FILTER($M$2:$M$1000, ($A$2:$A$1000=$AE6) * ($C$2:$C$1000=AG$8) * (LEFT($D$2:$D$1000,10)=$AE5)), 1),2)</f>
        <v>1.1200000000000001</v>
      </c>
      <c r="AI11" t="s">
        <v>631</v>
      </c>
      <c r="AJ11" s="4" cm="1">
        <f t="array" ref="AJ11">ROUND(_xlfn.QUARTILE.INC(_xlfn._xlws.FILTER($M$2:$M$1000, ($A$2:$A$1000=$AJ6) * ($C$2:$C$1000=AJ$8) *  ($B$2:$B$1000&gt;=$AJ$7) * ($B$2:$B$1000&lt;=$AL$7) * (LEFT($D$2:$D$1000,10)=$AJ5)), 1),2)</f>
        <v>1.19</v>
      </c>
      <c r="AK11" s="4" cm="1">
        <f t="array" ref="AK11">ROUND(_xlfn.QUARTILE.INC(_xlfn._xlws.FILTER($M$2:$M$1000, ($A$2:$A$1000=$AJ6) * ($C$2:$C$1000=AK$8) *  ($B$2:$B$1000&gt;=$AJ$7) * ($B$2:$B$1000&lt;=$AL$7) * (LEFT($D$2:$D$1000,10)=$AJ5)), 1),2)</f>
        <v>1.19</v>
      </c>
      <c r="AL11" s="4" cm="1">
        <f t="array" ref="AL11">ROUND(_xlfn.QUARTILE.INC(_xlfn._xlws.FILTER($M$2:$M$1000, ($A$2:$A$1000=$AJ6) * ($C$2:$C$1000=AL$8) *  ($B$2:$B$1000&gt;=$AJ$7) * ($B$2:$B$1000&lt;=$AL$7) * (LEFT($D$2:$D$1000,10)=$AJ5)), 1),2)</f>
        <v>1.1000000000000001</v>
      </c>
    </row>
    <row r="12" spans="1:41" x14ac:dyDescent="0.25">
      <c r="A12" t="s">
        <v>12</v>
      </c>
      <c r="B12">
        <v>1</v>
      </c>
      <c r="C12" t="s">
        <v>36</v>
      </c>
      <c r="D12" t="s">
        <v>342</v>
      </c>
      <c r="E12" t="s">
        <v>343</v>
      </c>
      <c r="F12" s="1">
        <v>1.2731481481481482E-5</v>
      </c>
      <c r="G12" t="s">
        <v>16</v>
      </c>
      <c r="H12">
        <v>5</v>
      </c>
      <c r="I12">
        <v>173</v>
      </c>
      <c r="J12">
        <v>178</v>
      </c>
      <c r="L12" t="s">
        <v>17</v>
      </c>
      <c r="M12" s="3">
        <f t="shared" si="0"/>
        <v>1.0120003949850798</v>
      </c>
      <c r="O12" t="s">
        <v>632</v>
      </c>
      <c r="P12" s="19" cm="1">
        <f t="array" ref="P12">ROUND(_xlfn.QUARTILE.INC(IF(($A:$A=$P6)*($C:$C=P$8),$M:$M),3),2)</f>
        <v>1.27</v>
      </c>
      <c r="Q12" s="19" cm="1">
        <f t="array" ref="Q12">ROUND(_xlfn.QUARTILE.INC(IF(($A:$A=$P6)*($C:$C=Q$8),$M:$M),3),2)</f>
        <v>1.28</v>
      </c>
      <c r="R12" s="19" cm="1">
        <f t="array" ref="R12">ROUND(_xlfn.QUARTILE.INC(IF(($A:$A=$P6)*($C:$C=R$8),$M:$M),3),2)</f>
        <v>1.2</v>
      </c>
      <c r="T12" t="s">
        <v>632</v>
      </c>
      <c r="U12" s="4" cm="1">
        <f t="array" ref="U12">ROUND(_xlfn.QUARTILE.INC(_xlfn._xlws.FILTER($M$2:$M$1000, ($A$2:$A$1000=$U6) * ($C$2:$C$1000=U$8) * (LEFT($D$2:$D$1000,10)=$U5)), 3),2)</f>
        <v>1.26</v>
      </c>
      <c r="V12" s="4" cm="1">
        <f t="array" ref="V12">ROUND(_xlfn.QUARTILE.INC(_xlfn._xlws.FILTER($M$2:$M$1000, ($A$2:$A$1000=$U6) * ($C$2:$C$1000=V$8) * (LEFT($D$2:$D$1000,10)=$U5)), 3),2)</f>
        <v>1.18</v>
      </c>
      <c r="W12" s="4" cm="1">
        <f t="array" ref="W12">ROUND(_xlfn.QUARTILE.INC(_xlfn._xlws.FILTER($M$2:$M$1000, ($A$2:$A$1000=$U6) * ($C$2:$C$1000=W$8) * (LEFT($D$2:$D$1000,10)=$U5)), 3),2)</f>
        <v>1.2</v>
      </c>
      <c r="Y12" t="s">
        <v>632</v>
      </c>
      <c r="Z12" s="4" cm="1">
        <f t="array" ref="Z12">ROUND(_xlfn.QUARTILE.INC(_xlfn._xlws.FILTER($M$2:$M$1000, ($A$2:$A$1000=$Z6) * ($C$2:$C$1000=Z$8) *  ($B$2:$B$1000&gt;=$Z$7) * ($B$2:$B$1000&lt;=$AB$7) * (LEFT($D$2:$D$1000,10)=$Z5)), 3),2)</f>
        <v>1.26</v>
      </c>
      <c r="AA12" s="4" cm="1">
        <f t="array" ref="AA12">ROUND(_xlfn.QUARTILE.INC(_xlfn._xlws.FILTER($M$2:$M$1000, ($A$2:$A$1000=$Z6) * ($C$2:$C$1000=AA$8) *  ($B$2:$B$1000&gt;=$Z$7) * ($B$2:$B$1000&lt;=$AB$7) * (LEFT($D$2:$D$1000,10)=$Z5)), 3),2)</f>
        <v>1.17</v>
      </c>
      <c r="AB12" s="4" cm="1">
        <f t="array" ref="AB12">ROUND(_xlfn.QUARTILE.INC(_xlfn._xlws.FILTER($M$2:$M$1000, ($A$2:$A$1000=$Z6) * ($C$2:$C$1000=AB$8) *  ($B$2:$B$1000&gt;=$Z$7) * ($B$2:$B$1000&lt;=$AB$7) * (LEFT($D$2:$D$1000,10)=$Z5)), 3),2)</f>
        <v>1.17</v>
      </c>
      <c r="AD12" t="s">
        <v>632</v>
      </c>
      <c r="AE12" s="4" cm="1">
        <f t="array" ref="AE12">ROUND(_xlfn.QUARTILE.INC(_xlfn._xlws.FILTER($M$2:$M$1000, ($A$2:$A$1000=$AE6) * ($C$2:$C$1000=AE$8) * (LEFT($D$2:$D$1000,10)=$AE5)), 3),2)</f>
        <v>1.27</v>
      </c>
      <c r="AF12" s="4" cm="1">
        <f t="array" ref="AF12">ROUND(_xlfn.QUARTILE.INC(_xlfn._xlws.FILTER($M$2:$M$1000, ($A$2:$A$1000=$AE6) * ($C$2:$C$1000=AF$8) * (LEFT($D$2:$D$1000,10)=$AE5)), 3),2)</f>
        <v>1.31</v>
      </c>
      <c r="AG12" s="4" cm="1">
        <f t="array" ref="AG12">ROUND(_xlfn.QUARTILE.INC(_xlfn._xlws.FILTER($M$2:$M$1000, ($A$2:$A$1000=$AE6) * ($C$2:$C$1000=AG$8) * (LEFT($D$2:$D$1000,10)=$AE5)), 3),2)</f>
        <v>1.19</v>
      </c>
      <c r="AI12" t="s">
        <v>632</v>
      </c>
      <c r="AJ12" s="4" cm="1">
        <f t="array" ref="AJ12">ROUND(_xlfn.QUARTILE.INC(_xlfn._xlws.FILTER($M$2:$M$1000, ($A$2:$A$1000=$AJ6) * ($C$2:$C$1000=AJ$8) *  ($B$2:$B$1000&gt;=$AJ$7) * ($B$2:$B$1000&lt;=$AL$7) * (LEFT($D$2:$D$1000,10)=$AJ5)), 3),2)</f>
        <v>1.26</v>
      </c>
      <c r="AK12" s="4" cm="1">
        <f t="array" ref="AK12">ROUND(_xlfn.QUARTILE.INC(_xlfn._xlws.FILTER($M$2:$M$1000, ($A$2:$A$1000=$AJ6) * ($C$2:$C$1000=AK$8) *  ($B$2:$B$1000&gt;=$AJ$7) * ($B$2:$B$1000&lt;=$AL$7) * (LEFT($D$2:$D$1000,10)=$AJ5)), 3),2)</f>
        <v>1.33</v>
      </c>
      <c r="AL12" s="4" cm="1">
        <f t="array" ref="AL12">ROUND(_xlfn.QUARTILE.INC(_xlfn._xlws.FILTER($M$2:$M$1000, ($A$2:$A$1000=$AJ6) * ($C$2:$C$1000=AL$8) *  ($B$2:$B$1000&gt;=$AJ$7) * ($B$2:$B$1000&lt;=$AL$7) * (LEFT($D$2:$D$1000,10)=$AJ5)), 3),2)</f>
        <v>1.18</v>
      </c>
    </row>
    <row r="13" spans="1:41" x14ac:dyDescent="0.25">
      <c r="A13" t="s">
        <v>12</v>
      </c>
      <c r="B13">
        <v>2</v>
      </c>
      <c r="C13" t="s">
        <v>36</v>
      </c>
      <c r="D13" t="s">
        <v>344</v>
      </c>
      <c r="E13" t="s">
        <v>345</v>
      </c>
      <c r="F13" s="1">
        <v>1.3888888888888888E-5</v>
      </c>
      <c r="G13" t="s">
        <v>16</v>
      </c>
      <c r="H13">
        <v>5</v>
      </c>
      <c r="I13">
        <v>173</v>
      </c>
      <c r="J13">
        <v>178</v>
      </c>
      <c r="L13" t="s">
        <v>17</v>
      </c>
      <c r="M13" s="3">
        <f t="shared" si="0"/>
        <v>1.1659996351227164</v>
      </c>
      <c r="O13" t="s">
        <v>664</v>
      </c>
      <c r="P13" s="4">
        <f>ROUND(_xlfn.MINIFS($M:$M, $A:$A, $P6, $C:$C, P$8),2)</f>
        <v>1.01</v>
      </c>
      <c r="Q13" s="4">
        <f>ROUND(_xlfn.MINIFS($M:$M, $A:$A, $P6, $C:$C, Q$8),2)</f>
        <v>0.99</v>
      </c>
      <c r="R13" s="4">
        <f>ROUND(_xlfn.MINIFS($M:$M, $A:$A, $P6, $C:$C, R$8),2)</f>
        <v>0.96</v>
      </c>
      <c r="T13" t="s">
        <v>633</v>
      </c>
      <c r="U13" s="4" cm="1">
        <f t="array" ref="U13">ROUND(MIN(_xlfn._xlws.FILTER($M$2:$M$1000, ($A$2:$A$1000=$U6) * ($C$2:$C$1000=U$8) * (LEFT($D$2:$D$1000,10)=$U5))),2)</f>
        <v>1.01</v>
      </c>
      <c r="V13" s="4" cm="1">
        <f t="array" ref="V13">ROUND(MIN(_xlfn._xlws.FILTER($M$2:$M$1000, ($A$2:$A$1000=$U6) * ($C$2:$C$1000=V$8) * (LEFT($D$2:$D$1000,10)=$U5))),2)</f>
        <v>0.99</v>
      </c>
      <c r="W13" s="4" cm="1">
        <f t="array" ref="W13">ROUND(MIN(_xlfn._xlws.FILTER($M$2:$M$1000, ($A$2:$A$1000=$U6) * ($C$2:$C$1000=W$8) * (LEFT($D$2:$D$1000,10)=$U5))),2)</f>
        <v>0.96</v>
      </c>
      <c r="Y13" t="s">
        <v>633</v>
      </c>
      <c r="Z13" s="4" cm="1">
        <f t="array" ref="Z13">ROUND(MIN(_xlfn._xlws.FILTER($M$2:$M$1000, ($A$2:$A$1000=$Z6) * ($C$2:$C$1000=Z$8) *  ($B$2:$B$1000&gt;=$Z$7) * ($B$2:$B$1000&lt;=$AB$7) * (LEFT($D$2:$D$1000,10)=$Z5))),2)</f>
        <v>1.01</v>
      </c>
      <c r="AA13" s="4" cm="1">
        <f t="array" ref="AA13">ROUND(MIN(_xlfn._xlws.FILTER($M$2:$M$1000, ($A$2:$A$1000=$Z6) * ($C$2:$C$1000=AA$8) *  ($B$2:$B$1000&gt;=$Z$7) * ($B$2:$B$1000&lt;=$AB$7) * (LEFT($D$2:$D$1000,10)=$Z5))),2)</f>
        <v>0.99</v>
      </c>
      <c r="AB13" s="4" cm="1">
        <f t="array" ref="AB13">ROUND(MIN(_xlfn._xlws.FILTER($M$2:$M$1000, ($A$2:$A$1000=$Z6) * ($C$2:$C$1000=AB$8) *  ($B$2:$B$1000&gt;=$Z$7) * ($B$2:$B$1000&lt;=$AB$7) * (LEFT($D$2:$D$1000,10)=$Z5))),2)</f>
        <v>0.98</v>
      </c>
      <c r="AD13" t="s">
        <v>633</v>
      </c>
      <c r="AE13" s="4" cm="1">
        <f t="array" ref="AE13">ROUND(MIN(_xlfn._xlws.FILTER($M$2:$M$1000, ($A$2:$A$1000=$AE6) * ($C$2:$C$1000=AE$8) * (LEFT($D$2:$D$1000,10)=$AE5))),2)</f>
        <v>1.07</v>
      </c>
      <c r="AF13" s="4" cm="1">
        <f t="array" ref="AF13">ROUND(MIN(_xlfn._xlws.FILTER($M$2:$M$1000, ($A$2:$A$1000=$AE6) * ($C$2:$C$1000=AF$8) * (LEFT($D$2:$D$1000,10)=$AE5))),2)</f>
        <v>1.0900000000000001</v>
      </c>
      <c r="AG13" s="4" cm="1">
        <f t="array" ref="AG13">ROUND(MIN(_xlfn._xlws.FILTER($M$2:$M$1000, ($A$2:$A$1000=$AE6) * ($C$2:$C$1000=AG$8) * (LEFT($D$2:$D$1000,10)=$AE5))),2)</f>
        <v>1</v>
      </c>
      <c r="AI13" t="s">
        <v>633</v>
      </c>
      <c r="AJ13" s="4" cm="1">
        <f t="array" ref="AJ13">ROUND(MIN(_xlfn._xlws.FILTER($M$2:$M$1000, ($A$2:$A$1000=$AJ6) * ($C$2:$C$1000=AJ$8) *  ($B$2:$B$1000&gt;=$AJ$7) * ($B$2:$B$1000&lt;=$AL$7) * (LEFT($D$2:$D$1000,10)=$AJ5))),2)</f>
        <v>1.1299999999999999</v>
      </c>
      <c r="AK13" s="4" cm="1">
        <f t="array" ref="AK13">ROUND(MIN(_xlfn._xlws.FILTER($M$2:$M$1000, ($A$2:$A$1000=$AJ6) * ($C$2:$C$1000=AK$8) *  ($B$2:$B$1000&gt;=$AJ$7) * ($B$2:$B$1000&lt;=$AL$7) * (LEFT($D$2:$D$1000,10)=$AJ5))),2)</f>
        <v>1.0900000000000001</v>
      </c>
      <c r="AL13" s="4" cm="1">
        <f t="array" ref="AL13">ROUND(MIN(_xlfn._xlws.FILTER($M$2:$M$1000, ($A$2:$A$1000=$AJ6) * ($C$2:$C$1000=AL$8) *  ($B$2:$B$1000&gt;=$AJ$7) * ($B$2:$B$1000&lt;=$AL$7) * (LEFT($D$2:$D$1000,10)=$AJ5))),2)</f>
        <v>1</v>
      </c>
    </row>
    <row r="14" spans="1:41" x14ac:dyDescent="0.25">
      <c r="A14" t="s">
        <v>12</v>
      </c>
      <c r="B14">
        <v>3</v>
      </c>
      <c r="C14" t="s">
        <v>36</v>
      </c>
      <c r="D14" t="s">
        <v>346</v>
      </c>
      <c r="E14" t="s">
        <v>347</v>
      </c>
      <c r="F14" s="1">
        <v>1.6203703703703704E-5</v>
      </c>
      <c r="G14" t="s">
        <v>16</v>
      </c>
      <c r="H14">
        <v>5</v>
      </c>
      <c r="I14">
        <v>173</v>
      </c>
      <c r="J14">
        <v>178</v>
      </c>
      <c r="L14" t="s">
        <v>17</v>
      </c>
      <c r="M14" s="3">
        <f t="shared" si="0"/>
        <v>1.0430000256747007</v>
      </c>
      <c r="O14" t="s">
        <v>665</v>
      </c>
      <c r="P14" s="4">
        <f>ROUND(_xlfn.MAXIFS($M:$M, $A:$A, $P6, $C:$C, P$8),2)</f>
        <v>1.37</v>
      </c>
      <c r="Q14" s="4">
        <f>ROUND(_xlfn.MAXIFS($M:$M, $A:$A, $P6, $C:$C, Q$8),2)</f>
        <v>1.56</v>
      </c>
      <c r="R14" s="4">
        <f>ROUND(_xlfn.MAXIFS($M:$M, $A:$A, $P6, $C:$C, R$8),2)</f>
        <v>1.32</v>
      </c>
      <c r="T14" t="s">
        <v>634</v>
      </c>
      <c r="U14" s="4" cm="1">
        <f t="array" ref="U14">ROUND(MAX(_xlfn._xlws.FILTER($M$2:$M$1000, ($A$2:$A$1000=$U6) * ($C$2:$C$1000=U$8) * (LEFT($D$2:$D$1000,10)=$U5))),2)</f>
        <v>1.33</v>
      </c>
      <c r="V14" s="4" cm="1">
        <f t="array" ref="V14">ROUND(MAX(_xlfn._xlws.FILTER($M$2:$M$1000, ($A$2:$A$1000=$U6) * ($C$2:$C$1000=V$8) * (LEFT($D$2:$D$1000,10)=$U5))),2)</f>
        <v>1.33</v>
      </c>
      <c r="W14" s="4" cm="1">
        <f t="array" ref="W14">ROUND(MAX(_xlfn._xlws.FILTER($M$2:$M$1000, ($A$2:$A$1000=$U6) * ($C$2:$C$1000=W$8) * (LEFT($D$2:$D$1000,10)=$U5))),2)</f>
        <v>1.32</v>
      </c>
      <c r="Y14" t="s">
        <v>634</v>
      </c>
      <c r="Z14" s="4" cm="1">
        <f t="array" ref="Z14">ROUND(MAX(_xlfn._xlws.FILTER($M$2:$M$1000, ($A$2:$A$1000=$Z6) * ($C$2:$C$1000=Z$8) *  ($B$2:$B$1000&gt;=$Z$7) * ($B$2:$B$1000&lt;=$AB$7) * (LEFT($D$2:$D$1000,10)=$Z5))),2)</f>
        <v>1.33</v>
      </c>
      <c r="AA14" s="4" cm="1">
        <f t="array" ref="AA14">ROUND(MAX(_xlfn._xlws.FILTER($M$2:$M$1000, ($A$2:$A$1000=$Z6) * ($C$2:$C$1000=AA$8) *  ($B$2:$B$1000&gt;=$Z$7) * ($B$2:$B$1000&lt;=$AB$7) * (LEFT($D$2:$D$1000,10)=$Z5))),2)</f>
        <v>1.22</v>
      </c>
      <c r="AB14" s="4" cm="1">
        <f t="array" ref="AB14">ROUND(MAX(_xlfn._xlws.FILTER($M$2:$M$1000, ($A$2:$A$1000=$Z6) * ($C$2:$C$1000=AB$8) *  ($B$2:$B$1000&gt;=$Z$7) * ($B$2:$B$1000&lt;=$AB$7) * (LEFT($D$2:$D$1000,10)=$Z5))),2)</f>
        <v>1.22</v>
      </c>
      <c r="AD14" t="s">
        <v>634</v>
      </c>
      <c r="AE14" s="4" cm="1">
        <f t="array" ref="AE14">ROUND(MAX(_xlfn._xlws.FILTER($M$2:$M$1000, ($A$2:$A$1000=$AE6) * ($C$2:$C$1000=AE$8) * (LEFT($D$2:$D$1000,10)=$AE5))),2)</f>
        <v>1.37</v>
      </c>
      <c r="AF14" s="4" cm="1">
        <f t="array" ref="AF14">ROUND(MAX(_xlfn._xlws.FILTER($M$2:$M$1000, ($A$2:$A$1000=$AE6) * ($C$2:$C$1000=AF$8) * (LEFT($D$2:$D$1000,10)=$AE5))),2)</f>
        <v>1.56</v>
      </c>
      <c r="AG14" s="4" cm="1">
        <f t="array" ref="AG14">ROUND(MAX(_xlfn._xlws.FILTER($M$2:$M$1000, ($A$2:$A$1000=$AE6) * ($C$2:$C$1000=AG$8) * (LEFT($D$2:$D$1000,10)=$AE5))),2)</f>
        <v>1.24</v>
      </c>
      <c r="AI14" t="s">
        <v>634</v>
      </c>
      <c r="AJ14" s="4" cm="1">
        <f t="array" ref="AJ14">ROUND(MAX(_xlfn._xlws.FILTER($M$2:$M$1000, ($A$2:$A$1000=$AJ6) * ($C$2:$C$1000=AJ$8) *  ($B$2:$B$1000&gt;=$AJ$7) * ($B$2:$B$1000&lt;=$AL$7) * (LEFT($D$2:$D$1000,10)=$AJ5))),2)</f>
        <v>1.34</v>
      </c>
      <c r="AK14" s="4" cm="1">
        <f t="array" ref="AK14">ROUND(MAX(_xlfn._xlws.FILTER($M$2:$M$1000, ($A$2:$A$1000=$AJ6) * ($C$2:$C$1000=AK$8) *  ($B$2:$B$1000&gt;=$AJ$7) * ($B$2:$B$1000&lt;=$AL$7) * (LEFT($D$2:$D$1000,10)=$AJ5))),2)</f>
        <v>1.56</v>
      </c>
      <c r="AL14" s="4" cm="1">
        <f t="array" ref="AL14">ROUND(MAX(_xlfn._xlws.FILTER($M$2:$M$1000, ($A$2:$A$1000=$AJ6) * ($C$2:$C$1000=AL$8) *  ($B$2:$B$1000&gt;=$AJ$7) * ($B$2:$B$1000&lt;=$AL$7) * (LEFT($D$2:$D$1000,10)=$AJ5))),2)</f>
        <v>1.21</v>
      </c>
    </row>
    <row r="15" spans="1:41" x14ac:dyDescent="0.25">
      <c r="A15" t="s">
        <v>12</v>
      </c>
      <c r="B15">
        <v>4</v>
      </c>
      <c r="C15" t="s">
        <v>36</v>
      </c>
      <c r="D15" t="s">
        <v>348</v>
      </c>
      <c r="E15" t="s">
        <v>349</v>
      </c>
      <c r="F15" s="1">
        <v>1.2731481481481482E-5</v>
      </c>
      <c r="G15" t="s">
        <v>16</v>
      </c>
      <c r="H15">
        <v>5</v>
      </c>
      <c r="I15">
        <v>173</v>
      </c>
      <c r="J15">
        <v>178</v>
      </c>
      <c r="L15" t="s">
        <v>17</v>
      </c>
      <c r="M15" s="3">
        <f t="shared" si="0"/>
        <v>1.0100000537931919</v>
      </c>
      <c r="O15" t="s">
        <v>663</v>
      </c>
      <c r="P15" s="4" cm="1">
        <f t="array" ref="P15">ROUND(_xlfn.STDEV.S(IF(($A:$A=$P6)*($C:$C=P$8), $M:$M)),2)</f>
        <v>0.1</v>
      </c>
      <c r="Q15" s="4" cm="1">
        <f t="array" ref="Q15">ROUND(_xlfn.STDEV.S(IF(($A:$A=$P6)*($C:$C=Q$8), $M:$M)),2)</f>
        <v>0.14000000000000001</v>
      </c>
      <c r="R15" s="4" cm="1">
        <f t="array" ref="R15">ROUND(_xlfn.STDEV.S(IF(($A:$A=$P6)*($C:$C=R$8), $M:$M)),2)</f>
        <v>0.09</v>
      </c>
      <c r="T15" t="s">
        <v>663</v>
      </c>
      <c r="U15" s="4" cm="1">
        <f t="array" ref="U15">ROUND(_xlfn.STDEV.P(_xlfn._xlws.FILTER($M$2:$M$1000, ($A$2:$A$1000=$U6) * ($C$2:$C$1000=U$8) * (LEFT($D$2:$D$1000,10)=$U5))),2)</f>
        <v>0.1</v>
      </c>
      <c r="V15" s="4" cm="1">
        <f t="array" ref="V15">ROUND(_xlfn.STDEV.P(_xlfn._xlws.FILTER($M$2:$M$1000, ($A$2:$A$1000=$U6) * ($C$2:$C$1000=V$8) * (LEFT($D$2:$D$1000,10)=$U5))),2)</f>
        <v>0.1</v>
      </c>
      <c r="W15" s="4" cm="1">
        <f t="array" ref="W15">ROUND(_xlfn.STDEV.P(_xlfn._xlws.FILTER($M$2:$M$1000, ($A$2:$A$1000=$U6) * ($C$2:$C$1000=W$8) * (LEFT($D$2:$D$1000,10)=$U5))),2)</f>
        <v>0.11</v>
      </c>
      <c r="Y15" t="s">
        <v>663</v>
      </c>
      <c r="Z15" s="4" cm="1">
        <f t="array" ref="Z15">ROUND(_xlfn.STDEV.P(_xlfn._xlws.FILTER($M$2:$M$1000, ($A$2:$A$1000=$Z6) * ($C$2:$C$1000=Z$8) *  ($B$2:$B$1000&gt;=$Z$7) * ($B$2:$B$1000&lt;=$AB$7) * (LEFT($D$2:$D$1000,10)=$Z5))),2)</f>
        <v>0.1</v>
      </c>
      <c r="AA15" s="4" cm="1">
        <f t="array" ref="AA15">ROUND(_xlfn.STDEV.P(_xlfn._xlws.FILTER($M$2:$M$1000, ($A$2:$A$1000=$Z6) * ($C$2:$C$1000=AA$8) *  ($B$2:$B$1000&gt;=$Z$7) * ($B$2:$B$1000&lt;=$AB$7) * (LEFT($D$2:$D$1000,10)=$Z5))),2)</f>
        <v>0.08</v>
      </c>
      <c r="AB15" s="4" cm="1">
        <f t="array" ref="AB15">ROUND(_xlfn.STDEV.P(_xlfn._xlws.FILTER($M$2:$M$1000, ($A$2:$A$1000=$Z6) * ($C$2:$C$1000=AB$8) *  ($B$2:$B$1000&gt;=$Z$7) * ($B$2:$B$1000&lt;=$AB$7) * (LEFT($D$2:$D$1000,10)=$Z5))),2)</f>
        <v>0.08</v>
      </c>
      <c r="AD15" t="s">
        <v>663</v>
      </c>
      <c r="AE15" s="4" cm="1">
        <f t="array" ref="AE15">ROUND(_xlfn.STDEV.P(_xlfn._xlws.FILTER($M$2:$M$1000, ($A$2:$A$1000=$AE6) * ($C$2:$C$1000=AE$8) * (LEFT($D$2:$D$1000,10)=$AE5))),2)</f>
        <v>0.09</v>
      </c>
      <c r="AF15" s="4" cm="1">
        <f t="array" ref="AF15">ROUND(_xlfn.STDEV.P(_xlfn._xlws.FILTER($M$2:$M$1000, ($A$2:$A$1000=$AE6) * ($C$2:$C$1000=AF$8) * (LEFT($D$2:$D$1000,10)=$AE5))),2)</f>
        <v>0.13</v>
      </c>
      <c r="AG15" s="4" cm="1">
        <f t="array" ref="AG15">ROUND(_xlfn.STDEV.P(_xlfn._xlws.FILTER($M$2:$M$1000, ($A$2:$A$1000=$AE6) * ($C$2:$C$1000=AG$8) * (LEFT($D$2:$D$1000,10)=$AE5))),2)</f>
        <v>7.0000000000000007E-2</v>
      </c>
      <c r="AI15" t="s">
        <v>663</v>
      </c>
      <c r="AJ15" s="4" cm="1">
        <f t="array" ref="AJ15">ROUND(_xlfn.STDEV.P(_xlfn._xlws.FILTER($M$2:$M$1000, ($A$2:$A$1000=$AJ6) * ($C$2:$C$1000=AJ$8) *  ($B$2:$B$1000&gt;=$AJ$7) * ($B$2:$B$1000&lt;=$AL$7) * (LEFT($D$2:$D$1000,10)=$AJ5))),2)</f>
        <v>7.0000000000000007E-2</v>
      </c>
      <c r="AK15" s="4" cm="1">
        <f t="array" ref="AK15">ROUND(_xlfn.STDEV.P(_xlfn._xlws.FILTER($M$2:$M$1000, ($A$2:$A$1000=$AJ6) * ($C$2:$C$1000=AK$8) *  ($B$2:$B$1000&gt;=$AJ$7) * ($B$2:$B$1000&lt;=$AL$7) * (LEFT($D$2:$D$1000,10)=$AJ5))),2)</f>
        <v>0.14000000000000001</v>
      </c>
      <c r="AL15" s="4" cm="1">
        <f t="array" ref="AL15">ROUND(_xlfn.STDEV.P(_xlfn._xlws.FILTER($M$2:$M$1000, ($A$2:$A$1000=$AJ6) * ($C$2:$C$1000=AL$8) *  ($B$2:$B$1000&gt;=$AJ$7) * ($B$2:$B$1000&lt;=$AL$7) * (LEFT($D$2:$D$1000,10)=$AJ5))),2)</f>
        <v>0.06</v>
      </c>
    </row>
    <row r="16" spans="1:41" x14ac:dyDescent="0.25">
      <c r="A16" t="s">
        <v>12</v>
      </c>
      <c r="B16">
        <v>5</v>
      </c>
      <c r="C16" t="s">
        <v>36</v>
      </c>
      <c r="D16" t="s">
        <v>350</v>
      </c>
      <c r="E16" t="s">
        <v>351</v>
      </c>
      <c r="F16" s="1">
        <v>1.6203703703703704E-5</v>
      </c>
      <c r="G16" t="s">
        <v>16</v>
      </c>
      <c r="H16">
        <v>5</v>
      </c>
      <c r="I16">
        <v>173</v>
      </c>
      <c r="J16">
        <v>178</v>
      </c>
      <c r="L16" t="s">
        <v>17</v>
      </c>
      <c r="M16" s="3">
        <f t="shared" si="0"/>
        <v>1.0430000256747007</v>
      </c>
      <c r="O16" t="s">
        <v>384</v>
      </c>
      <c r="P16" s="4" cm="1">
        <f t="array" ref="P16">ROUND(_xlfn.PERCENTILE.INC(IF(($A:$A=$P6)*($C:$C=P$8), $M:$M), 0.9),2)</f>
        <v>1.33</v>
      </c>
      <c r="Q16" s="4" cm="1">
        <f t="array" ref="Q16">ROUND(_xlfn.PERCENTILE.INC(IF(($A:$A=$P6)*($C:$C=Q$8), $M:$M), 0.9),2)</f>
        <v>1.34</v>
      </c>
      <c r="R16" s="4" cm="1">
        <f t="array" ref="R16">ROUND(_xlfn.PERCENTILE.INC(IF(($A:$A=$P6)*($C:$C=R$8), $M:$M), 0.9),2)</f>
        <v>1.23</v>
      </c>
      <c r="T16" t="s">
        <v>384</v>
      </c>
      <c r="U16" s="4" cm="1">
        <f t="array" ref="U16">ROUND(_xlfn.PERCENTILE.INC(_xlfn._xlws.FILTER($M$2:$M$1000, ($A$2:$A$1000=$U6) * ($C$2:$C$1000=U$8) * (LEFT($D$2:$D$1000,10)=$U5)), 0.9),2)</f>
        <v>1.3</v>
      </c>
      <c r="V16" s="4" cm="1">
        <f t="array" ref="V16">ROUND(_xlfn.PERCENTILE.INC(_xlfn._xlws.FILTER($M$2:$M$1000, ($A$2:$A$1000=$U6) * ($C$2:$C$1000=V$8) * (LEFT($D$2:$D$1000,10)=$U5)), 0.9),2)</f>
        <v>1.23</v>
      </c>
      <c r="W16" s="4" cm="1">
        <f t="array" ref="W16">ROUND(_xlfn.PERCENTILE.INC(_xlfn._xlws.FILTER($M$2:$M$1000, ($A$2:$A$1000=$U6) * ($C$2:$C$1000=W$8) * (LEFT($D$2:$D$1000,10)=$U5)), 0.9),2)</f>
        <v>1.23</v>
      </c>
      <c r="Y16" t="s">
        <v>384</v>
      </c>
      <c r="Z16" s="4" cm="1">
        <f t="array" ref="Z16">ROUND(_xlfn.PERCENTILE.INC(_xlfn._xlws.FILTER($M$2:$M$1000, ($A$2:$A$1000=$Z6) * ($C$2:$C$1000=Z$8) *  ($B$2:$B$1000&gt;=$Z$7) * ($B$2:$B$1000&lt;=$AB$7) * (LEFT($D$2:$D$1000,10)=$Z5)), 0.9),2)</f>
        <v>1.29</v>
      </c>
      <c r="AA16" s="4" cm="1">
        <f t="array" ref="AA16">ROUND(_xlfn.PERCENTILE.INC(_xlfn._xlws.FILTER($M$2:$M$1000, ($A$2:$A$1000=$Z6) * ($C$2:$C$1000=AA$8) *  ($B$2:$B$1000&gt;=$Z$7) * ($B$2:$B$1000&lt;=$AB$7) * (LEFT($D$2:$D$1000,10)=$Z5)), 0.9),2)</f>
        <v>1.2</v>
      </c>
      <c r="AB16" s="4" cm="1">
        <f t="array" ref="AB16">ROUND(_xlfn.PERCENTILE.INC(_xlfn._xlws.FILTER($M$2:$M$1000, ($A$2:$A$1000=$Z6) * ($C$2:$C$1000=AB$8) *  ($B$2:$B$1000&gt;=$Z$7) * ($B$2:$B$1000&lt;=$AB$7) * (LEFT($D$2:$D$1000,10)=$Z5)), 0.9),2)</f>
        <v>1.22</v>
      </c>
      <c r="AD16" t="s">
        <v>384</v>
      </c>
      <c r="AE16" s="4" cm="1">
        <f t="array" ref="AE16">ROUND(_xlfn.PERCENTILE.INC(_xlfn._xlws.FILTER($M$2:$M$1000, ($A$2:$A$1000=$AE6) * ($C$2:$C$1000=AE$8) * (LEFT($D$2:$D$1000,10)=$AE5)), 0.9),2)</f>
        <v>1.35</v>
      </c>
      <c r="AF16" s="4" cm="1">
        <f t="array" ref="AF16">ROUND(_xlfn.PERCENTILE.INC(_xlfn._xlws.FILTER($M$2:$M$1000, ($A$2:$A$1000=$AE6) * ($C$2:$C$1000=AF$8) * (LEFT($D$2:$D$1000,10)=$AE5)), 0.9),2)</f>
        <v>1.41</v>
      </c>
      <c r="AG16" s="4" cm="1">
        <f t="array" ref="AG16">ROUND(_xlfn.PERCENTILE.INC(_xlfn._xlws.FILTER($M$2:$M$1000, ($A$2:$A$1000=$AE6) * ($C$2:$C$1000=AG$8) * (LEFT($D$2:$D$1000,10)=$AE5)), 0.9),2)</f>
        <v>1.21</v>
      </c>
      <c r="AI16" t="s">
        <v>384</v>
      </c>
      <c r="AJ16" s="4" cm="1">
        <f t="array" ref="AJ16">ROUND(_xlfn.PERCENTILE.INC(_xlfn._xlws.FILTER($M$2:$M$1000, ($A$2:$A$1000=$AJ6) * ($C$2:$C$1000=AJ$8) *  ($B$2:$B$1000&gt;=$AJ$7) * ($B$2:$B$1000&lt;=$AL$7) * (LEFT($D$2:$D$1000,10)=$AJ5)), 0.9),2)</f>
        <v>1.3</v>
      </c>
      <c r="AK16" s="4" cm="1">
        <f t="array" ref="AK16">ROUND(_xlfn.PERCENTILE.INC(_xlfn._xlws.FILTER($M$2:$M$1000, ($A$2:$A$1000=$AJ6) * ($C$2:$C$1000=AK$8) *  ($B$2:$B$1000&gt;=$AJ$7) * ($B$2:$B$1000&lt;=$AL$7) * (LEFT($D$2:$D$1000,10)=$AJ5)), 0.9),2)</f>
        <v>1.45</v>
      </c>
      <c r="AL16" s="4" cm="1">
        <f t="array" ref="AL16">ROUND(_xlfn.PERCENTILE.INC(_xlfn._xlws.FILTER($M$2:$M$1000, ($A$2:$A$1000=$AJ6) * ($C$2:$C$1000=AL$8) *  ($B$2:$B$1000&gt;=$AJ$7) * ($B$2:$B$1000&lt;=$AL$7) * (LEFT($D$2:$D$1000,10)=$AJ5)), 0.9),2)</f>
        <v>1.2</v>
      </c>
    </row>
    <row r="17" spans="1:38" x14ac:dyDescent="0.25">
      <c r="A17" t="s">
        <v>12</v>
      </c>
      <c r="B17">
        <v>6</v>
      </c>
      <c r="C17" t="s">
        <v>36</v>
      </c>
      <c r="D17" t="s">
        <v>352</v>
      </c>
      <c r="E17" t="s">
        <v>353</v>
      </c>
      <c r="F17" s="1">
        <v>1.9675925925925925E-5</v>
      </c>
      <c r="G17" t="s">
        <v>16</v>
      </c>
      <c r="H17">
        <v>5</v>
      </c>
      <c r="I17">
        <v>173</v>
      </c>
      <c r="J17">
        <v>178</v>
      </c>
      <c r="L17" t="s">
        <v>17</v>
      </c>
      <c r="M17" s="3">
        <f t="shared" si="0"/>
        <v>1.0670003481209278</v>
      </c>
      <c r="O17" t="s">
        <v>635</v>
      </c>
      <c r="P17" s="4" cm="1">
        <f t="array" ref="P17">ROUND(_xlfn.PERCENTILE.INC(IF(($A:$A=$P6)*($C:$C=P$8), $M:$M), 0.95),2)</f>
        <v>1.34</v>
      </c>
      <c r="Q17" s="4" cm="1">
        <f t="array" ref="Q17">ROUND(_xlfn.PERCENTILE.INC(IF(($A:$A=$P6)*($C:$C=Q$8), $M:$M), 0.95),2)</f>
        <v>1.41</v>
      </c>
      <c r="R17" s="4" cm="1">
        <f t="array" ref="R17">ROUND(_xlfn.PERCENTILE.INC(IF(($A:$A=$P6)*($C:$C=R$8), $M:$M), 0.95),2)</f>
        <v>1.25</v>
      </c>
      <c r="T17" t="s">
        <v>635</v>
      </c>
      <c r="U17" s="4" cm="1">
        <f t="array" ref="U17">ROUND(_xlfn.PERCENTILE.INC(_xlfn._xlws.FILTER($M$2:$M$1000, ($A$2:$A$1000=$U6) * ($C$2:$C$1000=U$8) * (LEFT($D$2:$D$1000,10)=$U5)), 0.95),2)</f>
        <v>1.31</v>
      </c>
      <c r="V17" s="4" cm="1">
        <f t="array" ref="V17">ROUND(_xlfn.PERCENTILE.INC(_xlfn._xlws.FILTER($M$2:$M$1000, ($A$2:$A$1000=$U6) * ($C$2:$C$1000=V$8) * (LEFT($D$2:$D$1000,10)=$U5)), 0.95),2)</f>
        <v>1.28</v>
      </c>
      <c r="W17" s="4" cm="1">
        <f t="array" ref="W17">ROUND(_xlfn.PERCENTILE.INC(_xlfn._xlws.FILTER($M$2:$M$1000, ($A$2:$A$1000=$U6) * ($C$2:$C$1000=W$8) * (LEFT($D$2:$D$1000,10)=$U5)), 0.95),2)</f>
        <v>1.28</v>
      </c>
      <c r="Y17" t="s">
        <v>635</v>
      </c>
      <c r="Z17" s="4" cm="1">
        <f t="array" ref="Z17">ROUND(_xlfn.PERCENTILE.INC(_xlfn._xlws.FILTER($M$2:$M$1000, ($A$2:$A$1000=$Z6) * ($C$2:$C$1000=Z$8) *  ($B$2:$B$1000&gt;=$Z$7) * ($B$2:$B$1000&lt;=$AB$7) * (LEFT($D$2:$D$1000,10)=$Z5)), 0.95),2)</f>
        <v>1.31</v>
      </c>
      <c r="AA17" s="4" cm="1">
        <f t="array" ref="AA17">ROUND(_xlfn.PERCENTILE.INC(_xlfn._xlws.FILTER($M$2:$M$1000, ($A$2:$A$1000=$Z6) * ($C$2:$C$1000=AA$8) *  ($B$2:$B$1000&gt;=$Z$7) * ($B$2:$B$1000&lt;=$AB$7) * (LEFT($D$2:$D$1000,10)=$Z5)), 0.95),2)</f>
        <v>1.21</v>
      </c>
      <c r="AB17" s="4" cm="1">
        <f t="array" ref="AB17">ROUND(_xlfn.PERCENTILE.INC(_xlfn._xlws.FILTER($M$2:$M$1000, ($A$2:$A$1000=$Z6) * ($C$2:$C$1000=AB$8) *  ($B$2:$B$1000&gt;=$Z$7) * ($B$2:$B$1000&lt;=$AB$7) * (LEFT($D$2:$D$1000,10)=$Z5)), 0.95),2)</f>
        <v>1.22</v>
      </c>
      <c r="AD17" t="s">
        <v>635</v>
      </c>
      <c r="AE17" s="4" cm="1">
        <f t="array" ref="AE17">ROUND(_xlfn.PERCENTILE.INC(_xlfn._xlws.FILTER($M$2:$M$1000, ($A$2:$A$1000=$AE6) * ($C$2:$C$1000=AE$8) * (LEFT($D$2:$D$1000,10)=$AE5)), 0.95),2)</f>
        <v>1.36</v>
      </c>
      <c r="AF17" s="4" cm="1">
        <f t="array" ref="AF17">ROUND(_xlfn.PERCENTILE.INC(_xlfn._xlws.FILTER($M$2:$M$1000, ($A$2:$A$1000=$AE6) * ($C$2:$C$1000=AF$8) * (LEFT($D$2:$D$1000,10)=$AE5)), 0.95),2)</f>
        <v>1.49</v>
      </c>
      <c r="AG17" s="4" cm="1">
        <f t="array" ref="AG17">ROUND(_xlfn.PERCENTILE.INC(_xlfn._xlws.FILTER($M$2:$M$1000, ($A$2:$A$1000=$AE6) * ($C$2:$C$1000=AG$8) * (LEFT($D$2:$D$1000,10)=$AE5)), 0.95),2)</f>
        <v>1.23</v>
      </c>
      <c r="AI17" t="s">
        <v>635</v>
      </c>
      <c r="AJ17" s="4" cm="1">
        <f t="array" ref="AJ17">ROUND(_xlfn.PERCENTILE.INC(_xlfn._xlws.FILTER($M$2:$M$1000, ($A$2:$A$1000=$AJ6) * ($C$2:$C$1000=AJ$8) *  ($B$2:$B$1000&gt;=$AJ$7) * ($B$2:$B$1000&lt;=$AL$7) * (LEFT($D$2:$D$1000,10)=$AJ5)), 0.95),2)</f>
        <v>1.32</v>
      </c>
      <c r="AK17" s="4" cm="1">
        <f t="array" ref="AK17">ROUND(_xlfn.PERCENTILE.INC(_xlfn._xlws.FILTER($M$2:$M$1000, ($A$2:$A$1000=$AJ6) * ($C$2:$C$1000=AK$8) *  ($B$2:$B$1000&gt;=$AJ$7) * ($B$2:$B$1000&lt;=$AL$7) * (LEFT($D$2:$D$1000,10)=$AJ5)), 0.95),2)</f>
        <v>1.51</v>
      </c>
      <c r="AL17" s="4" cm="1">
        <f t="array" ref="AL17">ROUND(_xlfn.PERCENTILE.INC(_xlfn._xlws.FILTER($M$2:$M$1000, ($A$2:$A$1000=$AJ6) * ($C$2:$C$1000=AL$8) *  ($B$2:$B$1000&gt;=$AJ$7) * ($B$2:$B$1000&lt;=$AL$7) * (LEFT($D$2:$D$1000,10)=$AJ5)), 0.95),2)</f>
        <v>1.21</v>
      </c>
    </row>
    <row r="18" spans="1:38" x14ac:dyDescent="0.25">
      <c r="A18" t="s">
        <v>12</v>
      </c>
      <c r="B18">
        <v>7</v>
      </c>
      <c r="C18" t="s">
        <v>36</v>
      </c>
      <c r="D18" t="s">
        <v>354</v>
      </c>
      <c r="E18" t="s">
        <v>355</v>
      </c>
      <c r="F18" s="1">
        <v>1.2731481481481482E-5</v>
      </c>
      <c r="G18" t="s">
        <v>16</v>
      </c>
      <c r="H18">
        <v>5</v>
      </c>
      <c r="I18">
        <v>173</v>
      </c>
      <c r="J18">
        <v>178</v>
      </c>
      <c r="L18" t="s">
        <v>17</v>
      </c>
      <c r="M18" s="3">
        <f t="shared" si="0"/>
        <v>1.0129999369382858</v>
      </c>
      <c r="O18" t="s">
        <v>385</v>
      </c>
      <c r="P18" s="4" cm="1">
        <f t="array" ref="P18">ROUND(_xlfn.PERCENTILE.INC(IF(($A:$A=$P6)*($C:$C=P$8), $M:$M), 0.99),2)</f>
        <v>1.37</v>
      </c>
      <c r="Q18" s="4" cm="1">
        <f t="array" ref="Q18">ROUND(_xlfn.PERCENTILE.INC(IF(($A:$A=$P6)*($C:$C=Q$8), $M:$M), 0.99),2)</f>
        <v>1.53</v>
      </c>
      <c r="R18" s="4" cm="1">
        <f t="array" ref="R18">ROUND(_xlfn.PERCENTILE.INC(IF(($A:$A=$P6)*($C:$C=R$8), $M:$M), 0.99),2)</f>
        <v>1.3</v>
      </c>
      <c r="T18" t="s">
        <v>385</v>
      </c>
      <c r="U18" s="4" cm="1">
        <f t="array" ref="U18">ROUND(_xlfn.PERCENTILE.INC(_xlfn._xlws.FILTER($M$2:$M$1000, ($A$2:$A$1000=$U6) * ($C$2:$C$1000=U$8) * (LEFT($D$2:$D$1000,10)=$U5)), 0.99),2)</f>
        <v>1.32</v>
      </c>
      <c r="V18" s="4" cm="1">
        <f t="array" ref="V18">ROUND(_xlfn.PERCENTILE.INC(_xlfn._xlws.FILTER($M$2:$M$1000, ($A$2:$A$1000=$U6) * ($C$2:$C$1000=V$8) * (LEFT($D$2:$D$1000,10)=$U5)), 0.99),2)</f>
        <v>1.32</v>
      </c>
      <c r="W18" s="4" cm="1">
        <f t="array" ref="W18">ROUND(_xlfn.PERCENTILE.INC(_xlfn._xlws.FILTER($M$2:$M$1000, ($A$2:$A$1000=$U6) * ($C$2:$C$1000=W$8) * (LEFT($D$2:$D$1000,10)=$U5)), 0.99),2)</f>
        <v>1.31</v>
      </c>
      <c r="Y18" t="s">
        <v>385</v>
      </c>
      <c r="Z18" s="4" cm="1">
        <f t="array" ref="Z18">ROUND(_xlfn.PERCENTILE.INC(_xlfn._xlws.FILTER($M$2:$M$1000, ($A$2:$A$1000=$Z6) * ($C$2:$C$1000=Z$8) *  ($B$2:$B$1000&gt;=$Z$7) * ($B$2:$B$1000&lt;=$AB$7) * (LEFT($D$2:$D$1000,10)=$Z5)), 0.99),2)</f>
        <v>1.32</v>
      </c>
      <c r="AA18" s="4" cm="1">
        <f t="array" ref="AA18">ROUND(_xlfn.PERCENTILE.INC(_xlfn._xlws.FILTER($M$2:$M$1000, ($A$2:$A$1000=$Z6) * ($C$2:$C$1000=AA$8) *  ($B$2:$B$1000&gt;=$Z$7) * ($B$2:$B$1000&lt;=$AB$7) * (LEFT($D$2:$D$1000,10)=$Z5)), 0.99),2)</f>
        <v>1.22</v>
      </c>
      <c r="AB18" s="4" cm="1">
        <f t="array" ref="AB18">ROUND(_xlfn.PERCENTILE.INC(_xlfn._xlws.FILTER($M$2:$M$1000, ($A$2:$A$1000=$Z6) * ($C$2:$C$1000=AB$8) *  ($B$2:$B$1000&gt;=$Z$7) * ($B$2:$B$1000&lt;=$AB$7) * (LEFT($D$2:$D$1000,10)=$Z5)), 0.99),2)</f>
        <v>1.22</v>
      </c>
      <c r="AD18" t="s">
        <v>385</v>
      </c>
      <c r="AE18" s="4" cm="1">
        <f t="array" ref="AE18">ROUND(_xlfn.PERCENTILE.INC(_xlfn._xlws.FILTER($M$2:$M$1000, ($A$2:$A$1000=$AE6) * ($C$2:$C$1000=AE$8) * (LEFT($D$2:$D$1000,10)=$AE5)), 0.99),2)</f>
        <v>1.37</v>
      </c>
      <c r="AF18" s="4" cm="1">
        <f t="array" ref="AF18">ROUND(_xlfn.PERCENTILE.INC(_xlfn._xlws.FILTER($M$2:$M$1000, ($A$2:$A$1000=$AE6) * ($C$2:$C$1000=AF$8) * (LEFT($D$2:$D$1000,10)=$AE5)), 0.99),2)</f>
        <v>1.55</v>
      </c>
      <c r="AG18" s="4" cm="1">
        <f t="array" ref="AG18">ROUND(_xlfn.PERCENTILE.INC(_xlfn._xlws.FILTER($M$2:$M$1000, ($A$2:$A$1000=$AE6) * ($C$2:$C$1000=AG$8) * (LEFT($D$2:$D$1000,10)=$AE5)), 0.99),2)</f>
        <v>1.24</v>
      </c>
      <c r="AI18" t="s">
        <v>385</v>
      </c>
      <c r="AJ18" s="4" cm="1">
        <f t="array" ref="AJ18">ROUND(_xlfn.PERCENTILE.INC(_xlfn._xlws.FILTER($M$2:$M$1000, ($A$2:$A$1000=$AJ6) * ($C$2:$C$1000=AJ$8) *  ($B$2:$B$1000&gt;=$AJ$7) * ($B$2:$B$1000&lt;=$AL$7) * (LEFT($D$2:$D$1000,10)=$AJ5)), 0.99),2)</f>
        <v>1.34</v>
      </c>
      <c r="AK18" s="4" cm="1">
        <f t="array" ref="AK18">ROUND(_xlfn.PERCENTILE.INC(_xlfn._xlws.FILTER($M$2:$M$1000, ($A$2:$A$1000=$AJ6) * ($C$2:$C$1000=AK$8) *  ($B$2:$B$1000&gt;=$AJ$7) * ($B$2:$B$1000&lt;=$AL$7) * (LEFT($D$2:$D$1000,10)=$AJ5)), 0.99),2)</f>
        <v>1.55</v>
      </c>
      <c r="AL18" s="4" cm="1">
        <f t="array" ref="AL18">ROUND(_xlfn.PERCENTILE.INC(_xlfn._xlws.FILTER($M$2:$M$1000, ($A$2:$A$1000=$AJ6) * ($C$2:$C$1000=AL$8) *  ($B$2:$B$1000&gt;=$AJ$7) * ($B$2:$B$1000&lt;=$AL$7) * (LEFT($D$2:$D$1000,10)=$AJ5)), 0.99),2)</f>
        <v>1.21</v>
      </c>
    </row>
    <row r="19" spans="1:38" x14ac:dyDescent="0.25">
      <c r="A19" t="s">
        <v>12</v>
      </c>
      <c r="B19">
        <v>8</v>
      </c>
      <c r="C19" t="s">
        <v>36</v>
      </c>
      <c r="D19" t="s">
        <v>356</v>
      </c>
      <c r="E19" t="s">
        <v>357</v>
      </c>
      <c r="F19" s="1">
        <v>1.3888888888888888E-5</v>
      </c>
      <c r="G19" t="s">
        <v>16</v>
      </c>
      <c r="H19">
        <v>5</v>
      </c>
      <c r="I19">
        <v>173</v>
      </c>
      <c r="J19">
        <v>178</v>
      </c>
      <c r="L19" t="s">
        <v>17</v>
      </c>
      <c r="M19" s="3">
        <f t="shared" si="0"/>
        <v>1.0210000444203615</v>
      </c>
      <c r="O19" t="s">
        <v>386</v>
      </c>
      <c r="P19" s="4">
        <f>P12-P11</f>
        <v>0.13000000000000012</v>
      </c>
      <c r="Q19" s="4">
        <f t="shared" ref="Q19:R19" si="1">Q12-Q11</f>
        <v>0.15000000000000013</v>
      </c>
      <c r="R19" s="4">
        <f t="shared" si="1"/>
        <v>9.9999999999999867E-2</v>
      </c>
      <c r="T19" t="s">
        <v>386</v>
      </c>
      <c r="U19" s="4">
        <f>U12-U11</f>
        <v>0.12000000000000011</v>
      </c>
      <c r="V19" s="4">
        <f t="shared" ref="V19:W19" si="2">V12-V11</f>
        <v>0.11999999999999988</v>
      </c>
      <c r="W19" s="4">
        <f t="shared" si="2"/>
        <v>0.12999999999999989</v>
      </c>
      <c r="Y19" t="s">
        <v>386</v>
      </c>
      <c r="Z19" s="4">
        <f>Z12-Z11</f>
        <v>0.1399999999999999</v>
      </c>
      <c r="AA19" s="4">
        <f t="shared" ref="AA19:AB19" si="3">AA12-AA11</f>
        <v>0.1399999999999999</v>
      </c>
      <c r="AB19" s="4">
        <f t="shared" si="3"/>
        <v>5.9999999999999831E-2</v>
      </c>
      <c r="AD19" t="s">
        <v>386</v>
      </c>
      <c r="AE19" s="4">
        <f>AE12-AE11</f>
        <v>0.1100000000000001</v>
      </c>
      <c r="AF19" s="4">
        <f t="shared" ref="AF19:AG19" si="4">AF12-AF11</f>
        <v>0.12000000000000011</v>
      </c>
      <c r="AG19" s="4">
        <f t="shared" si="4"/>
        <v>6.999999999999984E-2</v>
      </c>
      <c r="AI19" t="s">
        <v>386</v>
      </c>
      <c r="AJ19" s="4">
        <f>AJ12-AJ11</f>
        <v>7.0000000000000062E-2</v>
      </c>
      <c r="AK19" s="4">
        <f t="shared" ref="AK19:AL19" si="5">AK12-AK11</f>
        <v>0.14000000000000012</v>
      </c>
      <c r="AL19" s="4">
        <f t="shared" si="5"/>
        <v>7.9999999999999849E-2</v>
      </c>
    </row>
    <row r="20" spans="1:38" x14ac:dyDescent="0.25">
      <c r="A20" t="s">
        <v>12</v>
      </c>
      <c r="B20">
        <v>9</v>
      </c>
      <c r="C20" t="s">
        <v>36</v>
      </c>
      <c r="D20" t="s">
        <v>358</v>
      </c>
      <c r="E20" t="s">
        <v>359</v>
      </c>
      <c r="F20" s="1">
        <v>4.398148148148148E-5</v>
      </c>
      <c r="G20" t="s">
        <v>16</v>
      </c>
      <c r="H20">
        <v>5</v>
      </c>
      <c r="I20">
        <v>173</v>
      </c>
      <c r="J20">
        <v>178</v>
      </c>
      <c r="L20" t="s">
        <v>17</v>
      </c>
      <c r="M20" s="3">
        <f t="shared" si="0"/>
        <v>3.0750002944841981</v>
      </c>
      <c r="O20" t="s">
        <v>387</v>
      </c>
      <c r="P20" s="16">
        <f>P17/P19</f>
        <v>10.307692307692299</v>
      </c>
      <c r="Q20" s="16">
        <f t="shared" ref="Q20:R20" si="6">Q17/Q19</f>
        <v>9.3999999999999915</v>
      </c>
      <c r="R20" s="16">
        <f t="shared" si="6"/>
        <v>12.500000000000016</v>
      </c>
      <c r="T20" t="s">
        <v>387</v>
      </c>
      <c r="U20" s="6">
        <f>U17/U19</f>
        <v>10.916666666666657</v>
      </c>
      <c r="V20" s="6">
        <f t="shared" ref="V20:W20" si="7">V17/V19</f>
        <v>10.666666666666677</v>
      </c>
      <c r="W20" s="6">
        <f t="shared" si="7"/>
        <v>9.8461538461538538</v>
      </c>
      <c r="Y20" t="s">
        <v>387</v>
      </c>
      <c r="Z20" s="6">
        <f>Z17/Z19</f>
        <v>9.3571428571428648</v>
      </c>
      <c r="AA20" s="6">
        <f t="shared" ref="AA20:AB20" si="8">AA17/AA19</f>
        <v>8.6428571428571495</v>
      </c>
      <c r="AB20" s="6">
        <f t="shared" si="8"/>
        <v>20.333333333333389</v>
      </c>
      <c r="AD20" t="s">
        <v>387</v>
      </c>
      <c r="AE20" s="6">
        <f>AE17/AE19</f>
        <v>12.363636363636353</v>
      </c>
      <c r="AF20" s="6">
        <f t="shared" ref="AF20:AG20" si="9">AF17/AF19</f>
        <v>12.416666666666655</v>
      </c>
      <c r="AG20" s="6">
        <f t="shared" si="9"/>
        <v>17.571428571428612</v>
      </c>
      <c r="AI20" t="s">
        <v>387</v>
      </c>
      <c r="AJ20" s="6">
        <f>AJ17/AJ19</f>
        <v>18.85714285714284</v>
      </c>
      <c r="AK20" s="6">
        <f t="shared" ref="AK20:AL20" si="10">AK17/AK19</f>
        <v>10.785714285714276</v>
      </c>
      <c r="AL20" s="6">
        <f t="shared" si="10"/>
        <v>15.125000000000028</v>
      </c>
    </row>
    <row r="21" spans="1:38" x14ac:dyDescent="0.25">
      <c r="A21" t="s">
        <v>12</v>
      </c>
      <c r="B21">
        <v>10</v>
      </c>
      <c r="C21" t="s">
        <v>36</v>
      </c>
      <c r="D21" t="s">
        <v>360</v>
      </c>
      <c r="E21" t="s">
        <v>361</v>
      </c>
      <c r="F21" s="1">
        <v>1.8518518518518518E-5</v>
      </c>
      <c r="G21" t="s">
        <v>16</v>
      </c>
      <c r="H21">
        <v>5</v>
      </c>
      <c r="I21">
        <v>173</v>
      </c>
      <c r="J21">
        <v>178</v>
      </c>
      <c r="L21" t="s">
        <v>17</v>
      </c>
      <c r="M21" s="3">
        <f t="shared" si="0"/>
        <v>1.0060000000521541</v>
      </c>
      <c r="O21" t="s">
        <v>636</v>
      </c>
      <c r="P21" s="7" t="str">
        <f>IF(P20&lt;20, "✅ SAFE",
   IF(AND(P20&gt;=20, P20&lt;30),
      IF(P17&lt;$R$28, "🟡 MODERATE", "🔴 SEVERE"),
      IF(AND(P20&gt;=30, P20&lt;=50), "🔴 SEVERE",
         IF(P20&gt;50, "🚨 CRITICAL", "ERROR"))))</f>
        <v>✅ SAFE</v>
      </c>
      <c r="Q21" s="7" t="str">
        <f t="shared" ref="Q21:R21" si="11">IF(Q20&lt;20, "✅ SAFE",
   IF(AND(Q20&gt;=20, Q20&lt;30),
      IF(Q17&lt;$R$28, "🟡 MODERATE", "🔴 SEVERE"),
      IF(AND(Q20&gt;=30, Q20&lt;=50), "🔴 SEVERE",
         IF(Q20&gt;50, "🚨 CRITICAL", "ERROR"))))</f>
        <v>✅ SAFE</v>
      </c>
      <c r="R21" s="7" t="str">
        <f t="shared" si="11"/>
        <v>✅ SAFE</v>
      </c>
      <c r="T21" t="s">
        <v>636</v>
      </c>
      <c r="U21" s="7" t="str">
        <f>IF(U20&lt;20, "✅ SAFE",
   IF(AND(U20&gt;=20, U20&lt;30),
      IF(U17&lt;$W$28, "🟡 MODERATE", "🔴 SEVERE"),
      IF(AND(U20&gt;=30, U20&lt;=50), "🔴 SEVERE",
         IF(U20&gt;50, "🚨 CRITICAL", "ERROR"))))</f>
        <v>✅ SAFE</v>
      </c>
      <c r="V21" s="7" t="str">
        <f t="shared" ref="V21:W21" si="12">IF(V20&lt;20, "✅ SAFE",
   IF(AND(V20&gt;=20, V20&lt;30),
      IF(V17&lt;$W$28, "🟡 MODERATE", "🔴 SEVERE"),
      IF(AND(V20&gt;=30, V20&lt;=50), "🔴 SEVERE",
         IF(V20&gt;50, "🚨 CRITICAL", "ERROR"))))</f>
        <v>✅ SAFE</v>
      </c>
      <c r="W21" s="7" t="str">
        <f t="shared" si="12"/>
        <v>✅ SAFE</v>
      </c>
      <c r="Y21" t="s">
        <v>636</v>
      </c>
      <c r="Z21" s="7" t="str">
        <f>IF(Z20&lt;20, "✅ SAFE",
   IF(AND(Z20&gt;=20, Z20&lt;30),
      IF(Z17&lt;$AB$28, "🟡 MODERATE", "🔴 SEVERE"),
      IF(AND(Z20&gt;=30, Z20&lt;=50), "🔴 SEVERE",
         IF(Z20&gt;50, "🚨 CRITICAL", "ERROR"))))</f>
        <v>✅ SAFE</v>
      </c>
      <c r="AA21" s="7" t="str">
        <f t="shared" ref="AA21:AB21" si="13">IF(AA20&lt;20, "✅ SAFE",
   IF(AND(AA20&gt;=20, AA20&lt;30),
      IF(AA17&lt;$AB$28, "🟡 MODERATE", "🔴 SEVERE"),
      IF(AND(AA20&gt;=30, AA20&lt;=50), "🔴 SEVERE",
         IF(AA20&gt;50, "🚨 CRITICAL", "ERROR"))))</f>
        <v>✅ SAFE</v>
      </c>
      <c r="AB21" s="7" t="str">
        <f t="shared" si="13"/>
        <v>🟡 MODERATE</v>
      </c>
      <c r="AD21" t="s">
        <v>636</v>
      </c>
      <c r="AE21" s="7" t="str">
        <f>IF(AE20&lt;20, "✅ SAFE",
   IF(AND(AE20&gt;=20, AE20&lt;30),
      IF(AE17&lt;$AG$28, "🟡 MODERATE", "🔴 SEVERE"),
      IF(AND(AE20&gt;=30, AE20&lt;=50), "🔴 SEVERE",
         IF(AE20&gt;50, "🚨 CRITICAL", "ERROR"))))</f>
        <v>✅ SAFE</v>
      </c>
      <c r="AF21" s="7" t="str">
        <f t="shared" ref="AF21:AG21" si="14">IF(AF20&lt;20, "✅ SAFE",
   IF(AND(AF20&gt;=20, AF20&lt;30),
      IF(AF17&lt;$AG$28, "🟡 MODERATE", "🔴 SEVERE"),
      IF(AND(AF20&gt;=30, AF20&lt;=50), "🔴 SEVERE",
         IF(AF20&gt;50, "🚨 CRITICAL", "ERROR"))))</f>
        <v>✅ SAFE</v>
      </c>
      <c r="AG21" s="7" t="str">
        <f t="shared" si="14"/>
        <v>✅ SAFE</v>
      </c>
      <c r="AI21" t="s">
        <v>636</v>
      </c>
      <c r="AJ21" s="7" t="str">
        <f>IF(AJ20&lt;20, "✅ SAFE",
   IF(AND(AJ20&gt;=20, AJ20&lt;30),
      IF(AJ17&lt;$AL$28, "🟡 MODERATE", "🔴 SEVERE"),
      IF(AND(AJ20&gt;=30, AJ20&lt;=50), "🔴 SEVERE",
         IF(AJ20&gt;50, "🚨 CRITICAL", "ERROR"))))</f>
        <v>✅ SAFE</v>
      </c>
      <c r="AK21" s="7" t="str">
        <f t="shared" ref="AK21:AL21" si="15">IF(AK20&lt;20, "✅ SAFE",
   IF(AND(AK20&gt;=20, AK20&lt;30),
      IF(AK17&lt;$AL$28, "🟡 MODERATE", "🔴 SEVERE"),
      IF(AND(AK20&gt;=30, AK20&lt;=50), "🔴 SEVERE",
         IF(AK20&gt;50, "🚨 CRITICAL", "ERROR"))))</f>
        <v>✅ SAFE</v>
      </c>
      <c r="AL21" s="7" t="str">
        <f t="shared" si="15"/>
        <v>✅ SAFE</v>
      </c>
    </row>
    <row r="22" spans="1:38" x14ac:dyDescent="0.25">
      <c r="A22" t="s">
        <v>12</v>
      </c>
      <c r="B22">
        <v>1</v>
      </c>
      <c r="C22" t="s">
        <v>57</v>
      </c>
      <c r="D22" t="s">
        <v>362</v>
      </c>
      <c r="E22" t="s">
        <v>363</v>
      </c>
      <c r="F22" s="1">
        <v>1.6203703703703704E-5</v>
      </c>
      <c r="G22" t="s">
        <v>16</v>
      </c>
      <c r="H22">
        <v>5</v>
      </c>
      <c r="I22">
        <v>108</v>
      </c>
      <c r="J22">
        <v>113</v>
      </c>
      <c r="L22" t="s">
        <v>17</v>
      </c>
      <c r="M22" s="3">
        <f t="shared" si="0"/>
        <v>1.039999513886869</v>
      </c>
      <c r="O22" t="s">
        <v>388</v>
      </c>
      <c r="P22" s="4">
        <f>ROUND(_xlfn.MAXIFS($M:$M, $A:$A, $P6, $C:$C, P$8) - _xlfn.MINIFS($M:$M, $A:$A, $P6, $C:$C, P$8),2)</f>
        <v>0.36</v>
      </c>
      <c r="Q22" s="4">
        <f>ROUND(_xlfn.MAXIFS($M:$M, $A:$A, $P6, $C:$C, Q$8) - _xlfn.MINIFS($M:$M, $A:$A, $P6, $C:$C, Q$8),2)</f>
        <v>0.56999999999999995</v>
      </c>
      <c r="R22" s="4">
        <f>ROUND(_xlfn.MAXIFS($M:$M, $A:$A, $P6, $C:$C, R$8) - _xlfn.MINIFS($M:$M, $A:$A, $P6, $C:$C, R$8),2)</f>
        <v>0.36</v>
      </c>
      <c r="T22" t="s">
        <v>388</v>
      </c>
      <c r="U22" s="4" cm="1">
        <f t="array" ref="U22">ROUND(MAX(_xlfn._xlws.FILTER($M$2:$M$1000, ($A$2:$A$1000=$U6) * ($C$2:$C$1000=U$8) * (LEFT($D$2:$D$1000,10)=$U5))) - MIN(_xlfn._xlws.FILTER($M$2:$M$1000, ($A$2:$A$1000=$U6) * ($C$2:$C$1000=U$8) * (LEFT($D$2:$D$1000,10)=$U5))),2)</f>
        <v>0.31</v>
      </c>
      <c r="V22" s="4" cm="1">
        <f t="array" ref="V22">MAX(_xlfn._xlws.FILTER($M$2:$M$1000, ($A$2:$A$1000=$U6) * ($C$2:$C$1000=V$8) * (LEFT($D$2:$D$1000,10)=$U5))) - MIN(_xlfn._xlws.FILTER($M$2:$M$1000, ($A$2:$A$1000=$U6) * ($C$2:$C$1000=V$8) * (LEFT($D$2:$D$1000,10)=$U5)))</f>
        <v>0.33999953884631395</v>
      </c>
      <c r="W22" s="4" cm="1">
        <f t="array" ref="W22">MAX(_xlfn._xlws.FILTER($M$2:$M$1000, ($A$2:$A$1000=$U6) * ($C$2:$C$1000=W$8) * (LEFT($D$2:$D$1000,10)=$U5))) - MIN(_xlfn._xlws.FILTER($M$2:$M$1000, ($A$2:$A$1000=$U6) * ($C$2:$C$1000=W$8) * (LEFT($D$2:$D$1000,10)=$U5)))</f>
        <v>0.35599975381046534</v>
      </c>
      <c r="Y22" t="s">
        <v>388</v>
      </c>
      <c r="Z22" s="4" cm="1">
        <f t="array" ref="Z22">ROUND(MAX(_xlfn._xlws.FILTER($M$2:$M$1000, ($A$2:$A$1000=$Z6) * ($C$2:$C$1000=Z$8) *  ($B$2:$B$1000&gt;=$Z$7) * ($B$2:$B$1000&lt;=$AB$7) * (LEFT($D$2:$D$1000,10)=$Z5))) - MIN(_xlfn._xlws.FILTER($M$2:$M$1000, ($A$2:$A$1000=$Z6) * ($C$2:$C$1000=Z$8) *  ($B$2:$B$1000&gt;=$Z$7) * ($B$2:$B$1000&lt;=$AB$7) * (LEFT($D$2:$D$1000,10)=$Z5))),2)</f>
        <v>0.31</v>
      </c>
      <c r="AA22" s="4" cm="1">
        <f t="array" ref="AA22">ROUND(MAX(_xlfn._xlws.FILTER($M$2:$M$1000, ($A$2:$A$1000=$Z6) * ($C$2:$C$1000=AA$8) *  ($B$2:$B$1000&gt;=$Z$7) * ($B$2:$B$1000&lt;=$AB$7) * (LEFT($D$2:$D$1000,10)=$Z5))) - MIN(_xlfn._xlws.FILTER($M$2:$M$1000, ($A$2:$A$1000=$Z6) * ($C$2:$C$1000=AA$8) *  ($B$2:$B$1000&gt;=$Z$7) * ($B$2:$B$1000&lt;=$AB$7) * (LEFT($D$2:$D$1000,10)=$Z5))),2)</f>
        <v>0.23</v>
      </c>
      <c r="AB22" s="4" cm="1">
        <f t="array" ref="AB22">ROUND(MAX(_xlfn._xlws.FILTER($M$2:$M$1000, ($A$2:$A$1000=$Z6) * ($C$2:$C$1000=AB$8) *  ($B$2:$B$1000&gt;=$Z$7) * ($B$2:$B$1000&lt;=$AB$7) * (LEFT($D$2:$D$1000,10)=$Z5))) - MIN(_xlfn._xlws.FILTER($M$2:$M$1000, ($A$2:$A$1000=$Z6) * ($C$2:$C$1000=AB$8) *  ($B$2:$B$1000&gt;=$Z$7) * ($B$2:$B$1000&lt;=$AB$7) * (LEFT($D$2:$D$1000,10)=$Z5))),2)</f>
        <v>0.25</v>
      </c>
      <c r="AD22" t="s">
        <v>388</v>
      </c>
      <c r="AE22" s="4" cm="1">
        <f t="array" ref="AE22">ROUND(MAX(_xlfn._xlws.FILTER($M$2:$M$1000, ($A$2:$A$1000=$AE6) * ($C$2:$C$1000=AE$8) * (LEFT($D$2:$D$1000,10)=$AE5))) - MIN(_xlfn._xlws.FILTER($M$2:$M$1000, ($A$2:$A$1000=$AE6) * ($C$2:$C$1000=AE$8) * (LEFT($D$2:$D$1000,10)=$AE5))),2)</f>
        <v>0.3</v>
      </c>
      <c r="AF22" s="4" cm="1">
        <f t="array" ref="AF22">MAX(_xlfn._xlws.FILTER($M$2:$M$1000, ($A$2:$A$1000=$AE6) * ($C$2:$C$1000=AF$8) * (LEFT($D$2:$D$1000,10)=$AE5))) - MIN(_xlfn._xlws.FILTER($M$2:$M$1000, ($A$2:$A$1000=$AE6) * ($C$2:$C$1000=AF$8) * (LEFT($D$2:$D$1000,10)=$AE5)))</f>
        <v>0.47400039620697498</v>
      </c>
      <c r="AG22" s="4" cm="1">
        <f t="array" ref="AG22">MAX(_xlfn._xlws.FILTER($M$2:$M$1000, ($A$2:$A$1000=$AE6) * ($C$2:$C$1000=AG$8) * (LEFT($D$2:$D$1000,10)=$AE5))) - MIN(_xlfn._xlws.FILTER($M$2:$M$1000, ($A$2:$A$1000=$AE6) * ($C$2:$C$1000=AG$8) * (LEFT($D$2:$D$1000,10)=$AE5)))</f>
        <v>0.24299996439367533</v>
      </c>
      <c r="AI22" t="s">
        <v>388</v>
      </c>
      <c r="AJ22" s="4" cm="1">
        <f t="array" ref="AJ22">ROUND(MAX(_xlfn._xlws.FILTER($M$2:$M$1000, ($A$2:$A$1000=$AJ6) * ($C$2:$C$1000=AJ$8) *  ($B$2:$B$1000&gt;=$AJ$7) * ($B$2:$B$1000&lt;=$AL$7) * (LEFT($D$2:$D$1000,10)=$AJ5))) - MIN(_xlfn._xlws.FILTER($M$2:$M$1000, ($A$2:$A$1000=$AJ6) * ($C$2:$C$1000=AJ$8) *  ($B$2:$B$1000&gt;=$AJ$7) * ($B$2:$B$1000&lt;=$AL$7) * (LEFT($D$2:$D$1000,10)=$AJ5))),2)</f>
        <v>0.21</v>
      </c>
      <c r="AK22" s="4" cm="1">
        <f t="array" ref="AK22">ROUND(MAX(_xlfn._xlws.FILTER($M$2:$M$1000, ($A$2:$A$1000=$AJ6) * ($C$2:$C$1000=AK$8) *  ($B$2:$B$1000&gt;=$AJ$7) * ($B$2:$B$1000&lt;=$AL$7) * (LEFT($D$2:$D$1000,10)=$AJ5))) - MIN(_xlfn._xlws.FILTER($M$2:$M$1000, ($A$2:$A$1000=$AJ6) * ($C$2:$C$1000=AK$8) *  ($B$2:$B$1000&gt;=$AJ$7) * ($B$2:$B$1000&lt;=$AL$7) * (LEFT($D$2:$D$1000,10)=$AJ5))),2)</f>
        <v>0.47</v>
      </c>
      <c r="AL22" s="4" cm="1">
        <f t="array" ref="AL22">ROUND(MAX(_xlfn._xlws.FILTER($M$2:$M$1000, ($A$2:$A$1000=$AJ6) * ($C$2:$C$1000=AL$8) *  ($B$2:$B$1000&gt;=$AJ$7) * ($B$2:$B$1000&lt;=$AL$7) * (LEFT($D$2:$D$1000,10)=$AJ5))) - MIN(_xlfn._xlws.FILTER($M$2:$M$1000, ($A$2:$A$1000=$AJ6) * ($C$2:$C$1000=AL$8) *  ($B$2:$B$1000&gt;=$AJ$7) * ($B$2:$B$1000&lt;=$AL$7) * (LEFT($D$2:$D$1000,10)=$AJ5))),2)</f>
        <v>0.21</v>
      </c>
    </row>
    <row r="23" spans="1:38" x14ac:dyDescent="0.25">
      <c r="A23" t="s">
        <v>12</v>
      </c>
      <c r="B23">
        <v>2</v>
      </c>
      <c r="C23" t="s">
        <v>57</v>
      </c>
      <c r="D23" t="s">
        <v>364</v>
      </c>
      <c r="E23" t="s">
        <v>365</v>
      </c>
      <c r="F23" s="1">
        <v>1.3888888888888888E-5</v>
      </c>
      <c r="G23" t="s">
        <v>16</v>
      </c>
      <c r="H23">
        <v>5</v>
      </c>
      <c r="I23">
        <v>108</v>
      </c>
      <c r="J23">
        <v>113</v>
      </c>
      <c r="L23" t="s">
        <v>17</v>
      </c>
      <c r="M23" s="3">
        <f t="shared" si="0"/>
        <v>1.0149996494874358</v>
      </c>
      <c r="O23" t="s">
        <v>389</v>
      </c>
      <c r="P23" s="17">
        <f>ROUND(P15/P9,2)</f>
        <v>0.08</v>
      </c>
      <c r="Q23" s="17">
        <f>ROUND(Q15/Q9,2)</f>
        <v>0.12</v>
      </c>
      <c r="R23" s="17">
        <f>ROUND(R15/R9,2)</f>
        <v>0.08</v>
      </c>
      <c r="T23" t="s">
        <v>389</v>
      </c>
      <c r="U23" s="5">
        <f>U15/U9</f>
        <v>8.4033613445378158E-2</v>
      </c>
      <c r="V23" s="5">
        <f t="shared" ref="V23:W23" si="16">V15/V9</f>
        <v>8.8495575221238951E-2</v>
      </c>
      <c r="W23" s="5">
        <f t="shared" si="16"/>
        <v>9.7345132743362844E-2</v>
      </c>
      <c r="Y23" t="s">
        <v>389</v>
      </c>
      <c r="Z23" s="5">
        <f>Z15/Z9</f>
        <v>8.4033613445378158E-2</v>
      </c>
      <c r="AA23" s="5">
        <f>AA15/AA9</f>
        <v>7.2072072072072071E-2</v>
      </c>
      <c r="AB23" s="5">
        <f t="shared" ref="AB23" si="17">AB15/AB9</f>
        <v>7.0796460176991163E-2</v>
      </c>
      <c r="AD23" t="s">
        <v>389</v>
      </c>
      <c r="AE23" s="5">
        <f>AE15/AE9</f>
        <v>7.3170731707317069E-2</v>
      </c>
      <c r="AF23" s="5">
        <f t="shared" ref="AF23:AG23" si="18">AF15/AF9</f>
        <v>0.10236220472440945</v>
      </c>
      <c r="AG23" s="5">
        <f t="shared" si="18"/>
        <v>6.0869565217391314E-2</v>
      </c>
      <c r="AI23" t="s">
        <v>389</v>
      </c>
      <c r="AJ23" s="5">
        <f>AJ15/AJ9</f>
        <v>5.6910569105691061E-2</v>
      </c>
      <c r="AK23" s="5">
        <f t="shared" ref="AK23:AL23" si="19">AK15/AK9</f>
        <v>0.10937500000000001</v>
      </c>
      <c r="AL23" s="5">
        <f t="shared" si="19"/>
        <v>5.3097345132743369E-2</v>
      </c>
    </row>
    <row r="24" spans="1:38" ht="15.75" thickBot="1" x14ac:dyDescent="0.3">
      <c r="A24" t="s">
        <v>12</v>
      </c>
      <c r="B24">
        <v>3</v>
      </c>
      <c r="C24" t="s">
        <v>57</v>
      </c>
      <c r="D24" t="s">
        <v>366</v>
      </c>
      <c r="E24" t="s">
        <v>367</v>
      </c>
      <c r="F24" s="1">
        <v>1.6203703703703704E-5</v>
      </c>
      <c r="G24" t="s">
        <v>16</v>
      </c>
      <c r="H24">
        <v>5</v>
      </c>
      <c r="I24">
        <v>108</v>
      </c>
      <c r="J24">
        <v>113</v>
      </c>
      <c r="L24" t="s">
        <v>17</v>
      </c>
      <c r="M24" s="3">
        <f t="shared" si="0"/>
        <v>1.0420004837214947</v>
      </c>
      <c r="T24" t="s">
        <v>662</v>
      </c>
      <c r="U24" s="7" t="str">
        <f>IF(U20&lt;20, "✅",
   IF(AND(U20&gt;=20, U20&lt;30),
      IF(U17&lt;$W$28, "🟡", "🔴"),
      IF(AND(U20&gt;=30, U20&lt;=50), "🔴",
         IF(U20&gt;50, "🚨", ""))))</f>
        <v>✅</v>
      </c>
      <c r="V24" s="7" t="str">
        <f t="shared" ref="V24:W24" si="20">IF(V20&lt;20, "✅",
   IF(AND(V20&gt;=20, V20&lt;30),
      IF(V17&lt;$W$28, "🟡", "🔴"),
      IF(AND(V20&gt;=30, V20&lt;=50), "🔴",
         IF(V20&gt;50, "🚨", ""))))</f>
        <v>✅</v>
      </c>
      <c r="W24" s="7" t="str">
        <f t="shared" si="20"/>
        <v>✅</v>
      </c>
      <c r="Y24" t="s">
        <v>662</v>
      </c>
      <c r="Z24" s="7" t="str">
        <f>IF(Z20&lt;20, "✅",
   IF(AND(Z20&gt;=20, Z20&lt;30),
      IF(Z17&lt;$AB$28, "🟡", "🔴"),
      IF(AND(Z20&gt;=30, Z20&lt;=50), "🔴",
         IF(Z20&gt;50, "🚨", ""))))</f>
        <v>✅</v>
      </c>
      <c r="AA24" s="7" t="str">
        <f t="shared" ref="AA24:AB24" si="21">IF(AA20&lt;20, "✅",
   IF(AND(AA20&gt;=20, AA20&lt;30),
      IF(AA17&lt;$AB$28, "🟡", "🔴"),
      IF(AND(AA20&gt;=30, AA20&lt;=50), "🔴",
         IF(AA20&gt;50, "🚨", ""))))</f>
        <v>✅</v>
      </c>
      <c r="AB24" s="7" t="str">
        <f t="shared" si="21"/>
        <v>🟡</v>
      </c>
      <c r="AD24" t="s">
        <v>662</v>
      </c>
      <c r="AE24" s="7" t="str">
        <f>IF(AE20&lt;20, "✅",
   IF(AND(AE20&gt;=20, AE20&lt;30),
      IF(AE17&lt;$AG$28, "🟡", "🔴"),
      IF(AND(AE20&gt;=30, AE20&lt;=50), "🔴",
         IF(AE20&gt;50, "🚨", ""))))</f>
        <v>✅</v>
      </c>
      <c r="AF24" s="7" t="str">
        <f t="shared" ref="AF24:AG24" si="22">IF(AF20&lt;20, "✅",
   IF(AND(AF20&gt;=20, AF20&lt;30),
      IF(AF17&lt;$AG$28, "🟡", "🔴"),
      IF(AND(AF20&gt;=30, AF20&lt;=50), "🔴",
         IF(AF20&gt;50, "🚨", ""))))</f>
        <v>✅</v>
      </c>
      <c r="AG24" s="7" t="str">
        <f t="shared" si="22"/>
        <v>✅</v>
      </c>
      <c r="AI24" t="s">
        <v>662</v>
      </c>
      <c r="AJ24" s="7" t="str">
        <f>IF(AJ20&lt;20, "✅",
   IF(AND(AJ20&gt;=20, AJ20&lt;30),
      IF(AJ17&lt;$AL$28, "🟡", "🔴"),
      IF(AND(AJ20&gt;=30, AJ20&lt;=50), "🔴",
         IF(AJ20&gt;50, "🚨", ""))))</f>
        <v>✅</v>
      </c>
      <c r="AK24" s="7" t="str">
        <f t="shared" ref="AK24:AL24" si="23">IF(AK20&lt;20, "✅",
   IF(AND(AK20&gt;=20, AK20&lt;30),
      IF(AK17&lt;$AL$28, "🟡", "🔴"),
      IF(AND(AK20&gt;=30, AK20&lt;=50), "🔴",
         IF(AK20&gt;50, "🚨", ""))))</f>
        <v>✅</v>
      </c>
      <c r="AL24" s="7" t="str">
        <f t="shared" si="23"/>
        <v>✅</v>
      </c>
    </row>
    <row r="25" spans="1:38" ht="15.75" customHeight="1" thickBot="1" x14ac:dyDescent="0.3">
      <c r="A25" t="s">
        <v>12</v>
      </c>
      <c r="B25">
        <v>4</v>
      </c>
      <c r="C25" t="s">
        <v>57</v>
      </c>
      <c r="D25" t="s">
        <v>368</v>
      </c>
      <c r="E25" t="s">
        <v>369</v>
      </c>
      <c r="F25" s="1">
        <v>1.3888888888888888E-5</v>
      </c>
      <c r="G25" t="s">
        <v>16</v>
      </c>
      <c r="H25">
        <v>5</v>
      </c>
      <c r="I25">
        <v>108</v>
      </c>
      <c r="J25">
        <v>113</v>
      </c>
      <c r="L25" t="s">
        <v>17</v>
      </c>
      <c r="M25" s="3">
        <f t="shared" si="0"/>
        <v>1.0159998200833797</v>
      </c>
      <c r="O25" s="36" t="s">
        <v>651</v>
      </c>
      <c r="P25" s="37"/>
      <c r="Q25" s="37"/>
      <c r="R25" s="38"/>
      <c r="T25" s="36" t="s">
        <v>652</v>
      </c>
      <c r="U25" s="37"/>
      <c r="V25" s="37"/>
      <c r="W25" s="38"/>
      <c r="Y25" s="36" t="s">
        <v>653</v>
      </c>
      <c r="Z25" s="37"/>
      <c r="AA25" s="37"/>
      <c r="AB25" s="38"/>
      <c r="AD25" s="36" t="s">
        <v>654</v>
      </c>
      <c r="AE25" s="37"/>
      <c r="AF25" s="37"/>
      <c r="AG25" s="38"/>
      <c r="AI25" s="36" t="s">
        <v>655</v>
      </c>
      <c r="AJ25" s="37"/>
      <c r="AK25" s="37"/>
      <c r="AL25" s="38"/>
    </row>
    <row r="26" spans="1:38" x14ac:dyDescent="0.25">
      <c r="A26" t="s">
        <v>12</v>
      </c>
      <c r="B26">
        <v>5</v>
      </c>
      <c r="C26" t="s">
        <v>57</v>
      </c>
      <c r="D26" t="s">
        <v>370</v>
      </c>
      <c r="E26" t="s">
        <v>371</v>
      </c>
      <c r="F26" s="1">
        <v>1.2731481481481482E-5</v>
      </c>
      <c r="G26" t="s">
        <v>16</v>
      </c>
      <c r="H26">
        <v>5</v>
      </c>
      <c r="I26">
        <v>108</v>
      </c>
      <c r="J26">
        <v>113</v>
      </c>
      <c r="L26" t="s">
        <v>17</v>
      </c>
      <c r="M26" s="3">
        <f t="shared" si="0"/>
        <v>1.0129999369382858</v>
      </c>
      <c r="O26" s="23" t="s">
        <v>648</v>
      </c>
      <c r="P26" s="23"/>
      <c r="Q26" s="23"/>
      <c r="R26" s="4">
        <f>MIN(P9:R9)</f>
        <v>1.1399999999999999</v>
      </c>
      <c r="T26" s="23" t="s">
        <v>648</v>
      </c>
      <c r="U26" s="23"/>
      <c r="V26" s="23"/>
      <c r="W26" s="4">
        <f>MIN(U9:W9)</f>
        <v>1.1299999999999999</v>
      </c>
      <c r="Y26" s="23" t="s">
        <v>648</v>
      </c>
      <c r="Z26" s="23"/>
      <c r="AA26" s="23"/>
      <c r="AB26" s="4">
        <f>MIN(Z9:AB9)</f>
        <v>1.1100000000000001</v>
      </c>
      <c r="AD26" s="23" t="s">
        <v>648</v>
      </c>
      <c r="AE26" s="23"/>
      <c r="AF26" s="23"/>
      <c r="AG26" s="4">
        <f>MIN(AE9:AG9)</f>
        <v>1.1499999999999999</v>
      </c>
      <c r="AI26" s="23" t="s">
        <v>648</v>
      </c>
      <c r="AJ26" s="23"/>
      <c r="AK26" s="23"/>
      <c r="AL26" s="4">
        <f>MIN(AJ9:AL9)</f>
        <v>1.1299999999999999</v>
      </c>
    </row>
    <row r="27" spans="1:38" x14ac:dyDescent="0.25">
      <c r="A27" t="s">
        <v>12</v>
      </c>
      <c r="B27">
        <v>6</v>
      </c>
      <c r="C27" t="s">
        <v>57</v>
      </c>
      <c r="D27" t="s">
        <v>372</v>
      </c>
      <c r="E27" t="s">
        <v>373</v>
      </c>
      <c r="F27" s="1">
        <v>1.1574074074074073E-5</v>
      </c>
      <c r="G27" t="s">
        <v>16</v>
      </c>
      <c r="H27">
        <v>5</v>
      </c>
      <c r="I27">
        <v>108</v>
      </c>
      <c r="J27">
        <v>113</v>
      </c>
      <c r="L27" t="s">
        <v>17</v>
      </c>
      <c r="M27" s="3">
        <f t="shared" si="0"/>
        <v>0.98200030624866486</v>
      </c>
      <c r="O27" s="23" t="s">
        <v>649</v>
      </c>
      <c r="P27" s="23"/>
      <c r="Q27" s="23"/>
      <c r="R27" s="4">
        <f>MAX(P9:R9)</f>
        <v>1.21</v>
      </c>
      <c r="T27" s="23" t="s">
        <v>649</v>
      </c>
      <c r="U27" s="23"/>
      <c r="V27" s="23"/>
      <c r="W27" s="4">
        <f>MAX(U9:W9)</f>
        <v>1.19</v>
      </c>
      <c r="Y27" s="23" t="s">
        <v>649</v>
      </c>
      <c r="Z27" s="23"/>
      <c r="AA27" s="23"/>
      <c r="AB27" s="4">
        <f>MAX(Z9:AB9)</f>
        <v>1.19</v>
      </c>
      <c r="AD27" s="23" t="s">
        <v>649</v>
      </c>
      <c r="AE27" s="23"/>
      <c r="AF27" s="23"/>
      <c r="AG27" s="4">
        <f>MAX(AE9:AG9)</f>
        <v>1.27</v>
      </c>
      <c r="AI27" s="23" t="s">
        <v>649</v>
      </c>
      <c r="AJ27" s="23"/>
      <c r="AK27" s="23"/>
      <c r="AL27" s="4">
        <f>MAX(AJ9:AL9)</f>
        <v>1.28</v>
      </c>
    </row>
    <row r="28" spans="1:38" x14ac:dyDescent="0.25">
      <c r="A28" t="s">
        <v>12</v>
      </c>
      <c r="B28">
        <v>7</v>
      </c>
      <c r="C28" t="s">
        <v>57</v>
      </c>
      <c r="D28" t="s">
        <v>374</v>
      </c>
      <c r="E28" t="s">
        <v>375</v>
      </c>
      <c r="F28" s="1">
        <v>1.5046296296296297E-5</v>
      </c>
      <c r="G28" t="s">
        <v>16</v>
      </c>
      <c r="H28">
        <v>5</v>
      </c>
      <c r="I28">
        <v>108</v>
      </c>
      <c r="J28">
        <v>113</v>
      </c>
      <c r="L28" t="s">
        <v>17</v>
      </c>
      <c r="M28" s="3">
        <f t="shared" si="0"/>
        <v>1.0290001519024372</v>
      </c>
      <c r="O28" s="23" t="s">
        <v>650</v>
      </c>
      <c r="P28" s="23"/>
      <c r="Q28" s="23"/>
      <c r="R28">
        <f>MAX(3*R26, 1)</f>
        <v>3.42</v>
      </c>
      <c r="T28" s="23" t="s">
        <v>650</v>
      </c>
      <c r="U28" s="23"/>
      <c r="V28" s="23"/>
      <c r="W28" s="4">
        <f>MAX(3*W26, 1)</f>
        <v>3.3899999999999997</v>
      </c>
      <c r="Y28" s="23" t="s">
        <v>666</v>
      </c>
      <c r="Z28" s="23"/>
      <c r="AA28" s="23"/>
      <c r="AB28" s="4">
        <f>MAX(3*AB26, 1)</f>
        <v>3.33</v>
      </c>
      <c r="AD28" s="23" t="s">
        <v>650</v>
      </c>
      <c r="AE28" s="23"/>
      <c r="AF28" s="23"/>
      <c r="AG28" s="4">
        <f>MAX(3*AG26, 1)</f>
        <v>3.4499999999999997</v>
      </c>
      <c r="AI28" s="23" t="s">
        <v>666</v>
      </c>
      <c r="AJ28" s="23"/>
      <c r="AK28" s="23"/>
      <c r="AL28" s="4">
        <f>MAX(3*AL26, 1)</f>
        <v>3.3899999999999997</v>
      </c>
    </row>
    <row r="29" spans="1:38" x14ac:dyDescent="0.25">
      <c r="A29" t="s">
        <v>12</v>
      </c>
      <c r="B29">
        <v>8</v>
      </c>
      <c r="C29" t="s">
        <v>57</v>
      </c>
      <c r="D29" t="s">
        <v>376</v>
      </c>
      <c r="E29" t="s">
        <v>377</v>
      </c>
      <c r="F29" s="1">
        <v>1.6203703703703704E-5</v>
      </c>
      <c r="G29" t="s">
        <v>16</v>
      </c>
      <c r="H29">
        <v>5</v>
      </c>
      <c r="I29">
        <v>108</v>
      </c>
      <c r="J29">
        <v>113</v>
      </c>
      <c r="L29" t="s">
        <v>17</v>
      </c>
      <c r="M29" s="3">
        <f t="shared" si="0"/>
        <v>1.0389999719336629</v>
      </c>
    </row>
    <row r="30" spans="1:38" x14ac:dyDescent="0.25">
      <c r="A30" t="s">
        <v>12</v>
      </c>
      <c r="B30">
        <v>9</v>
      </c>
      <c r="C30" t="s">
        <v>57</v>
      </c>
      <c r="D30" t="s">
        <v>378</v>
      </c>
      <c r="E30" t="s">
        <v>379</v>
      </c>
      <c r="F30" s="1">
        <v>1.3888888888888888E-5</v>
      </c>
      <c r="G30" t="s">
        <v>16</v>
      </c>
      <c r="H30">
        <v>5</v>
      </c>
      <c r="I30">
        <v>108</v>
      </c>
      <c r="J30">
        <v>113</v>
      </c>
      <c r="L30" t="s">
        <v>17</v>
      </c>
      <c r="M30" s="3">
        <f t="shared" si="0"/>
        <v>1.0179995326325297</v>
      </c>
      <c r="O30" s="23" t="s">
        <v>656</v>
      </c>
      <c r="P30" s="23"/>
      <c r="Q30" s="23"/>
      <c r="R30" s="23"/>
      <c r="T30" s="23" t="s">
        <v>667</v>
      </c>
      <c r="U30" s="23"/>
      <c r="V30" s="23"/>
      <c r="Y30" s="24" t="s">
        <v>672</v>
      </c>
      <c r="Z30" s="24"/>
      <c r="AA30" s="24"/>
      <c r="AD30" s="23" t="s">
        <v>704</v>
      </c>
      <c r="AE30" s="23"/>
      <c r="AF30" s="23"/>
      <c r="AG30" s="23"/>
      <c r="AH30" s="23"/>
    </row>
    <row r="31" spans="1:38" x14ac:dyDescent="0.25">
      <c r="A31" t="s">
        <v>12</v>
      </c>
      <c r="B31">
        <v>10</v>
      </c>
      <c r="C31" t="s">
        <v>57</v>
      </c>
      <c r="D31" t="s">
        <v>380</v>
      </c>
      <c r="E31" t="s">
        <v>381</v>
      </c>
      <c r="F31" s="1">
        <v>1.9675925925925925E-5</v>
      </c>
      <c r="G31" t="s">
        <v>16</v>
      </c>
      <c r="H31">
        <v>5</v>
      </c>
      <c r="I31">
        <v>108</v>
      </c>
      <c r="J31">
        <v>113</v>
      </c>
      <c r="L31" t="s">
        <v>17</v>
      </c>
      <c r="M31" s="3">
        <f t="shared" si="0"/>
        <v>1.0700002312660217</v>
      </c>
      <c r="O31" t="s">
        <v>645</v>
      </c>
      <c r="P31" t="str">
        <f>_xlfn.LET(
    _xlpm.sym_mean, Z9,
    _xlpm.dsl_mean, AA9,
    _xlpm.norm_mean, AB9,
    _xlpm.sym_risk, "🟡",
    _xlpm.dsl_risk, "🔴",
    _xlpm.norm_risk, "🔴",
    _xlpm.min_val, MIN(_xlpm.sym_mean, _xlpm.dsl_mean, _xlpm.norm_mean),
    _xlpm.tie_count, (_xlpm.sym_mean = _xlpm.min_val) + (_xlpm.dsl_mean = _xlpm.min_val) + (_xlpm.norm_mean = _xlpm.min_val),
    _xlpm.winner_format, IF(_xlpm.sym_mean = _xlpm.min_val, "Symbolic",
                     IF(_xlpm.dsl_mean = _xlpm.min_val, "DSL/JSON",
                        IF(_xlpm.norm_mean = _xlpm.min_val, "Normal", ""))),
    _xlpm.winner_risk, IF(_xlpm.sym_mean = _xlpm.min_val, _xlpm.sym_risk,
                   IF(_xlpm.dsl_mean = _xlpm.min_val, _xlpm.dsl_risk,
                      IF(_xlpm.norm_mean = _xlpm.min_val, _xlpm.norm_risk, ""))),
    IF(_xlpm.tie_count &gt; 1,
        "🤝 Tie",
        "🏆 " &amp; _xlpm.winner_format &amp; IF(_xlpm.winner_risk = "🟡", "⚠️", "")
    )
)</f>
        <v>🏆 DSL/JSON</v>
      </c>
      <c r="U31" s="20">
        <v>46084</v>
      </c>
      <c r="V31" s="20">
        <v>46086</v>
      </c>
      <c r="W31" t="s">
        <v>673</v>
      </c>
      <c r="Y31" s="21" t="s">
        <v>668</v>
      </c>
      <c r="Z31" s="21" t="s">
        <v>669</v>
      </c>
      <c r="AA31" s="21" t="s">
        <v>670</v>
      </c>
      <c r="AD31" t="s">
        <v>681</v>
      </c>
      <c r="AE31" s="7" t="s">
        <v>668</v>
      </c>
      <c r="AF31" s="7" t="s">
        <v>685</v>
      </c>
      <c r="AG31" s="7" t="s">
        <v>670</v>
      </c>
      <c r="AH31" s="7" t="s">
        <v>644</v>
      </c>
      <c r="AI31" s="7"/>
      <c r="AJ31" s="7"/>
      <c r="AK31" s="7"/>
    </row>
    <row r="32" spans="1:38" x14ac:dyDescent="0.25">
      <c r="A32" t="s">
        <v>78</v>
      </c>
      <c r="B32">
        <v>1</v>
      </c>
      <c r="C32" t="s">
        <v>13</v>
      </c>
      <c r="D32" t="s">
        <v>391</v>
      </c>
      <c r="E32" t="s">
        <v>392</v>
      </c>
      <c r="F32" s="1">
        <v>2.5462962962962965E-5</v>
      </c>
      <c r="G32" t="s">
        <v>16</v>
      </c>
      <c r="H32">
        <v>4</v>
      </c>
      <c r="I32">
        <v>74</v>
      </c>
      <c r="J32">
        <v>78</v>
      </c>
      <c r="L32" t="s">
        <v>17</v>
      </c>
      <c r="M32" s="3">
        <f t="shared" si="0"/>
        <v>2.2219999926164746</v>
      </c>
      <c r="O32" t="s">
        <v>646</v>
      </c>
      <c r="P32" t="str">
        <f>_xlfn.LET(
    _xlpm.sym_mean, AJ9,
    _xlpm.dsl_mean, AK9,
    _xlpm.norm_mean, AL9,
    _xlpm.sym_risk, "🟡",
    _xlpm.dsl_risk, "🔴",
    _xlpm.norm_risk, "🔴",
    _xlpm.min_val, MIN(_xlpm.sym_mean, _xlpm.dsl_mean, _xlpm.norm_mean),
    _xlpm.tie_count, (_xlpm.sym_mean = _xlpm.min_val) + (_xlpm.dsl_mean = _xlpm.min_val) + (_xlpm.norm_mean = _xlpm.min_val),
    _xlpm.winner_format, IF(_xlpm.sym_mean = _xlpm.min_val, "Symbolic",
                     IF(_xlpm.dsl_mean = _xlpm.min_val, "DSL/JSON",
                        IF(_xlpm.norm_mean = _xlpm.min_val, "Normal", ""))),
    _xlpm.winner_risk, IF(_xlpm.sym_mean = _xlpm.min_val, _xlpm.sym_risk,
                   IF(_xlpm.dsl_mean = _xlpm.min_val, _xlpm.dsl_risk,
                      IF(_xlpm.norm_mean = _xlpm.min_val, _xlpm.norm_risk, ""))),
    IF(_xlpm.tie_count &gt; 1,
        "🤝 Tie",
        "🏆 " &amp; _xlpm.winner_format &amp; IF(_xlpm.winner_risk = "🟡", "⚠️", "")
    )
)</f>
        <v>🏆 Normal</v>
      </c>
      <c r="T32" t="s">
        <v>382</v>
      </c>
      <c r="U32" t="str">
        <f>_xlfn.LET(
   _xlpm.symbolic, Z9,
   _xlpm.dsl_json, AA9,
   _xlpm.normal, AB9,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DSL/JSON (1.11s)</v>
      </c>
      <c r="V32" t="str">
        <f>_xlfn.LET(
   _xlpm.symbolic, AJ9,
   _xlpm.dsl_json, AK9,
   _xlpm.normal, AL9,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Normal (1.13s)</v>
      </c>
      <c r="W32" t="str">
        <f>_xlfn.LET(
   _xlpm.symbolic_eligible, $Y$32,
   _xlpm.dsl_eligible, $Z$32,
   _xlpm.normal_eligible, $AA$32,
   _xlpm.symbolic_warning, $Y$36,
   _xlpm.dsl_warning, $Z$36,
   _xlpm.normal_warning, $AA$36,
   _xlpm.symbolic_w1, $P$34,
   _xlpm.symbolic_w2, $P$34,
   _xlpm.symbolic_mean, ($P$34*Z9 + $P$34*AJ9)/($P$34*2),
   _xlpm.dsl_w1, $P$34,
   _xlpm.dsl_w2, $P$34,
   _xlpm.dsl_mean, ($P$34*AA9 + $P$34*AK9)/($P$34*2),
   _xlpm.normal_w1, $P$34,
   _xlpm.normal_w2, $P$34,
   _xlpm.normal_mean, ($P$34*AB9 + $P$34*AL9)/($P$34*2),
   _xlpm.eligible_means, IF(_xlpm.symbolic_eligible, _xlpm.symbolic_mean, 999) &amp; "," &amp;
                    IF(_xlpm.dsl_eligible, _xlpm.dsl_mean, 999) &amp; "," &amp;
                    IF(_xlpm.normal_eligible, _xlpm.normal_mean, 999),
   _xlpm.fastest, MIN(IF(_xlpm.symbolic_eligible, _xlpm.symbolic_mean, 999),
                IF(_xlpm.dsl_eligible, _xlpm.dsl_mean, 999),
                IF(_xlpm.normal_eligible, _xlpm.normal_mean, 999)),
   _xlpm.tie_count, (IF(_xlpm.symbolic_eligible, IF(_xlpm.symbolic_mean=_xlpm.fastest,1,0),0)) +
              (IF(_xlpm.dsl_eligible, IF(_xlpm.dsl_mean=_xlpm.fastest,1,0),0)) +
              (IF(_xlpm.normal_eligible, IF(_xlpm.normal_mean=_xlpm.fastest,1,0),0)),
   _xlpm.value_text, IF(AND(_xlpm.symbolic_eligible, _xlpm.symbolic_mean=_xlpm.fastest), TEXT(_xlpm.symbolic_mean, "0.00"),
                 IF(AND(_xlpm.dsl_eligible, _xlpm.dsl_mean=_xlpm.fastest), TEXT(_xlpm.dsl_mean, "0.00"),
                 IF(AND(_xlpm.normal_eligible, _xlpm.normal_mean=_xlpm.fastest), TEXT(_xlpm.normal_mean, "0.00"), ""))),
   _xlpm.winner_text, IF(_xlpm.tie_count=0, "⚠️ No Eligible Formats",
                 IF(_xlpm.tie_count&gt;1, "🤝 Tie (" &amp; TEXT(_xlpm.fastest, "0.00") &amp; "s)",
                    IF(AND(_xlpm.symbolic_eligible, _xlpm.symbolic_mean=_xlpm.fastest),
                       "🏆 Symbolic" &amp; _xlpm.symbolic_warning &amp; " (" &amp; _xlpm.value_text &amp; "s)",
                       IF(AND(_xlpm.dsl_eligible, _xlpm.dsl_mean=_xlpm.fastest),
                          "🏆 DSL/JSON" &amp; _xlpm.dsl_warning &amp; " (" &amp; _xlpm.value_text &amp; "s)",
                          IF(AND(_xlpm.normal_eligible, _xlpm.normal_mean=_xlpm.fastest),
                             "🏆 Normal" &amp; _xlpm.normal_warning &amp; " (" &amp; _xlpm.value_text &amp; "s)",
                             "Error"))))),
   _xlpm.winner_text
)</f>
        <v>🏆 Normal⚠️ (1.13s)</v>
      </c>
      <c r="Y32" s="22" t="b">
        <f>IF(AND(Z21&lt;&gt;"🔴 SEVERE",Z21&lt;&gt;"🚨 CRITICAL",AJ21&lt;&gt;"🔴 SEVERE",AJ21&lt;&gt;"🚨 CRITICAL"), TRUE, FALSE)</f>
        <v>1</v>
      </c>
      <c r="Z32" s="22" t="b">
        <f t="shared" ref="Z32" si="24">IF(AND(AA21&lt;&gt;"🔴 SEVERE",AA21&lt;&gt;"🚨 CRITICAL",AK21&lt;&gt;"🔴 SEVERE",AK21&lt;&gt;"🚨 CRITICAL"), TRUE, FALSE)</f>
        <v>1</v>
      </c>
      <c r="AA32" s="22" t="b">
        <f>IF(AND(AB21&lt;&gt;"🔴 SEVERE",AB21&lt;&gt;"🚨 CRITICAL",AL21&lt;&gt;"🔴 SEVERE",AL21&lt;&gt;"🚨 CRITICAL"), TRUE, FALSE)</f>
        <v>1</v>
      </c>
      <c r="AB32" s="7"/>
      <c r="AD32" t="s">
        <v>682</v>
      </c>
      <c r="AE32" s="4">
        <f>Z9</f>
        <v>1.19</v>
      </c>
      <c r="AF32" s="4">
        <f>AA9</f>
        <v>1.1100000000000001</v>
      </c>
      <c r="AG32" s="4">
        <f>AB9</f>
        <v>1.1299999999999999</v>
      </c>
      <c r="AH32" t="str">
        <f>AJ41</f>
        <v>DSL/JSON</v>
      </c>
      <c r="AI32" s="7"/>
      <c r="AJ32" s="7"/>
      <c r="AK32" s="7"/>
    </row>
    <row r="33" spans="1:36" x14ac:dyDescent="0.25">
      <c r="A33" t="s">
        <v>78</v>
      </c>
      <c r="B33">
        <v>2</v>
      </c>
      <c r="C33" t="s">
        <v>13</v>
      </c>
      <c r="D33" t="s">
        <v>393</v>
      </c>
      <c r="E33" t="s">
        <v>394</v>
      </c>
      <c r="F33" s="1">
        <v>1.7361111111111111E-5</v>
      </c>
      <c r="G33" t="s">
        <v>16</v>
      </c>
      <c r="H33">
        <v>4</v>
      </c>
      <c r="I33">
        <v>74</v>
      </c>
      <c r="J33">
        <v>78</v>
      </c>
      <c r="L33" t="s">
        <v>17</v>
      </c>
      <c r="M33" s="3">
        <f t="shared" si="0"/>
        <v>1.4680002350360155</v>
      </c>
      <c r="O33" t="s">
        <v>644</v>
      </c>
      <c r="P33" t="str">
        <f>_xlfn.LET(
    _xlpm.sym_mean, P9,
    _xlpm.dsl_mean, Q9,
    _xlpm.norm_mean, R9,
    _xlpm.sym_risk, "🟡",
    _xlpm.dsl_risk, "🔴",
    _xlpm.norm_risk, "🔴",
    _xlpm.min_val, MIN(_xlpm.sym_mean, _xlpm.dsl_mean, _xlpm.norm_mean),
    _xlpm.tie_count, (_xlpm.sym_mean = _xlpm.min_val) + (_xlpm.dsl_mean = _xlpm.min_val) + (_xlpm.norm_mean = _xlpm.min_val),
    _xlpm.winner_format, IF(_xlpm.sym_mean = _xlpm.min_val, "Symbolic",
                     IF(_xlpm.dsl_mean = _xlpm.min_val, "DSL/JSON",
                        IF(_xlpm.norm_mean = _xlpm.min_val, "Normal", ""))),
    _xlpm.winner_risk, IF(_xlpm.sym_mean = _xlpm.min_val, _xlpm.sym_risk,
                   IF(_xlpm.dsl_mean = _xlpm.min_val, _xlpm.dsl_risk,
                      IF(_xlpm.norm_mean = _xlpm.min_val, _xlpm.norm_risk, ""))),
    IF(_xlpm.tie_count &gt; 1,
        "🤝 Tie",
        "🏆 " &amp; _xlpm.winner_format &amp; IF(_xlpm.winner_risk = "🟡", "⚠️", "")
    )
)</f>
        <v>🏆 Normal</v>
      </c>
      <c r="T33" t="s">
        <v>383</v>
      </c>
      <c r="U33" t="str">
        <f>_xlfn.LET(
   _xlpm.symbolic, Z10,
   _xlpm.dsl_json, AA10,
   _xlpm.normal, AB10,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🤝 Tie (1.13s)</v>
      </c>
      <c r="V33" t="str">
        <f>_xlfn.LET(
   _xlpm.symbolic, AJ10,
   _xlpm.dsl_json, AK10,
   _xlpm.normal, AL10,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Normal (1.15s)</v>
      </c>
      <c r="W33" t="str">
        <f>_xlfn.LET(
   _xlpm.symbolic_eligible, $Y$32,
   _xlpm.dsl_eligible, $Z$32,
   _xlpm.normal_eligible, $AA$32,
   _xlpm.symbolic_warning, $Y$36,
   _xlpm.dsl_warning, $Z$36,
   _xlpm.normal_warning, $AA$36,
   _xlpm.symbolic_w1, $P$34,
   _xlpm.symbolic_w2, $P$34,
   _xlpm.symbolic_mean, ($P$34*Z10 + $P$34*AJ10)/($P$34*2),
   _xlpm.dsl_w1, $P$34,
   _xlpm.dsl_w2, $P$34,
   _xlpm.dsl_mean, ($P$34*AA10 + $P$34*AK10)/($P$34*2),
   _xlpm.normal_w1, $P$34,
   _xlpm.normal_w2, $P$34,
   _xlpm.normal_mean, ($P$34*AB10 + $P$34*AL10)/($P$34*2),
   _xlpm.eligible_means, IF(_xlpm.symbolic_eligible, _xlpm.symbolic_mean, 999) &amp; "," &amp;
                    IF(_xlpm.dsl_eligible, _xlpm.dsl_mean, 999) &amp; "," &amp;
                    IF(_xlpm.normal_eligible, _xlpm.normal_mean, 999),
   _xlpm.fastest, MIN(IF(_xlpm.symbolic_eligible, _xlpm.symbolic_mean, 999),
                IF(_xlpm.dsl_eligible, _xlpm.dsl_mean, 999),
                IF(_xlpm.normal_eligible, _xlpm.normal_mean, 999)),
   _xlpm.tie_count, (IF(_xlpm.symbolic_eligible, IF(_xlpm.symbolic_mean=_xlpm.fastest,1,0),0)) +
              (IF(_xlpm.dsl_eligible, IF(_xlpm.dsl_mean=_xlpm.fastest,1,0),0)) +
              (IF(_xlpm.normal_eligible, IF(_xlpm.normal_mean=_xlpm.fastest,1,0),0)),
   _xlpm.value_text, IF(AND(_xlpm.symbolic_eligible, _xlpm.symbolic_mean=_xlpm.fastest), TEXT(_xlpm.symbolic_mean, "0.00"),
                 IF(AND(_xlpm.dsl_eligible, _xlpm.dsl_mean=_xlpm.fastest), TEXT(_xlpm.dsl_mean, "0.00"),
                 IF(AND(_xlpm.normal_eligible, _xlpm.normal_mean=_xlpm.fastest), TEXT(_xlpm.normal_mean, "0.00"), ""))),
   _xlpm.winner_text, IF(_xlpm.tie_count=0, "⚠️ No Eligible Formats",
                 IF(_xlpm.tie_count&gt;1, "🤝 Tie (" &amp; TEXT(_xlpm.fastest, "0.00") &amp; "s)",
                    IF(AND(_xlpm.symbolic_eligible, _xlpm.symbolic_mean=_xlpm.fastest),
                       "🏆 Symbolic" &amp; _xlpm.symbolic_warning &amp; " (" &amp; _xlpm.value_text &amp; "s)",
                       IF(AND(_xlpm.dsl_eligible, _xlpm.dsl_mean=_xlpm.fastest),
                          "🏆 DSL/JSON" &amp; _xlpm.dsl_warning &amp; " (" &amp; _xlpm.value_text &amp; "s)",
                          IF(AND(_xlpm.normal_eligible, _xlpm.normal_mean=_xlpm.fastest),
                             "🏆 Normal" &amp; _xlpm.normal_warning &amp; " (" &amp; _xlpm.value_text &amp; "s)",
                             "Error"))))),
   _xlpm.winner_text
)</f>
        <v>🏆 Normal⚠️ (1.14s)</v>
      </c>
      <c r="Y33" s="18"/>
      <c r="Z33" s="7"/>
      <c r="AB33" s="7"/>
      <c r="AD33" t="s">
        <v>683</v>
      </c>
      <c r="AE33" s="4">
        <f>AJ9</f>
        <v>1.23</v>
      </c>
      <c r="AF33" s="4">
        <f>AK9</f>
        <v>1.28</v>
      </c>
      <c r="AG33" s="4">
        <f>AL9</f>
        <v>1.1299999999999999</v>
      </c>
      <c r="AH33" t="str">
        <f>AJ42</f>
        <v>Normal</v>
      </c>
    </row>
    <row r="34" spans="1:36" ht="16.5" x14ac:dyDescent="0.3">
      <c r="A34" t="s">
        <v>78</v>
      </c>
      <c r="B34">
        <v>3</v>
      </c>
      <c r="C34" t="s">
        <v>13</v>
      </c>
      <c r="D34" t="s">
        <v>395</v>
      </c>
      <c r="E34" t="s">
        <v>396</v>
      </c>
      <c r="F34" s="1">
        <v>1.3888888888888888E-5</v>
      </c>
      <c r="G34" t="s">
        <v>16</v>
      </c>
      <c r="H34">
        <v>4</v>
      </c>
      <c r="I34">
        <v>74</v>
      </c>
      <c r="J34">
        <v>78</v>
      </c>
      <c r="L34" t="s">
        <v>17</v>
      </c>
      <c r="M34" s="3">
        <f t="shared" si="0"/>
        <v>1.1980000650510192</v>
      </c>
      <c r="O34" t="s">
        <v>657</v>
      </c>
      <c r="P34">
        <v>8</v>
      </c>
      <c r="T34" t="s">
        <v>633</v>
      </c>
      <c r="U34" t="str">
        <f>_xlfn.LET(
   _xlpm.symbolic, Z13,
   _xlpm.dsl_json, AA13,
   _xlpm.normal, AB13,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Normal (0.98s)</v>
      </c>
      <c r="V34" t="str">
        <f>_xlfn.LET(
   _xlpm.symbolic, AJ13,
   _xlpm.dsl_json, AK13,
   _xlpm.normal, AL13,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Normal (1.00s)</v>
      </c>
      <c r="W34" t="str">
        <f>_xlfn.LET(
   _xlpm.symbolic_eligible, $Y$32,
   _xlpm.dsl_eligible, $Z$32,
   _xlpm.normal_eligible, $AA$32,
   _xlpm.symbolic_warning, $Y$36,
   _xlpm.dsl_warning, $Z$36,
   _xlpm.normal_warning, $AA$36,
   _xlpm.symbolic_w1, $P$34,
   _xlpm.symbolic_w2, $P$34,
   _xlpm.symbolic_mean, ($P$34*Z13 + $P$34*AJ13)/($P$34*2),
   _xlpm.dsl_w1, $P$34,
   _xlpm.dsl_w2, $P$34,
   _xlpm.dsl_mean, ($P$34*AA13 + $P$34*AK13)/($P$34*2),
   _xlpm.normal_w1, $P$34,
   _xlpm.normal_w2, $P$34,
   _xlpm.normal_mean, ($P$34*AB13 + $P$34*AL13)/($P$34*2),
   _xlpm.eligible_means, IF(_xlpm.symbolic_eligible, _xlpm.symbolic_mean, 999) &amp; "," &amp;
                    IF(_xlpm.dsl_eligible, _xlpm.dsl_mean, 999) &amp; "," &amp;
                    IF(_xlpm.normal_eligible, _xlpm.normal_mean, 999),
   _xlpm.fastest, MIN(IF(_xlpm.symbolic_eligible, _xlpm.symbolic_mean, 999),
                IF(_xlpm.dsl_eligible, _xlpm.dsl_mean, 999),
                IF(_xlpm.normal_eligible, _xlpm.normal_mean, 999)),
   _xlpm.tie_count, (IF(_xlpm.symbolic_eligible, IF(_xlpm.symbolic_mean=_xlpm.fastest,1,0),0)) +
              (IF(_xlpm.dsl_eligible, IF(_xlpm.dsl_mean=_xlpm.fastest,1,0),0)) +
              (IF(_xlpm.normal_eligible, IF(_xlpm.normal_mean=_xlpm.fastest,1,0),0)),
   _xlpm.value_text, IF(AND(_xlpm.symbolic_eligible, _xlpm.symbolic_mean=_xlpm.fastest), TEXT(_xlpm.symbolic_mean, "0.00"),
                 IF(AND(_xlpm.dsl_eligible, _xlpm.dsl_mean=_xlpm.fastest), TEXT(_xlpm.dsl_mean, "0.00"),
                 IF(AND(_xlpm.normal_eligible, _xlpm.normal_mean=_xlpm.fastest), TEXT(_xlpm.normal_mean, "0.00"), ""))),
   _xlpm.winner_text, IF(_xlpm.tie_count=0, "⚠️ No Eligible Formats",
                 IF(_xlpm.tie_count&gt;1, "🤝 Tie (" &amp; TEXT(_xlpm.fastest, "0.00") &amp; "s)",
                    IF(AND(_xlpm.symbolic_eligible, _xlpm.symbolic_mean=_xlpm.fastest),
                       "🏆 Symbolic" &amp; _xlpm.symbolic_warning &amp; " (" &amp; _xlpm.value_text &amp; "s)",
                       IF(AND(_xlpm.dsl_eligible, _xlpm.dsl_mean=_xlpm.fastest),
                          "🏆 DSL/JSON" &amp; _xlpm.dsl_warning &amp; " (" &amp; _xlpm.value_text &amp; "s)",
                          IF(AND(_xlpm.normal_eligible, _xlpm.normal_mean=_xlpm.fastest),
                             "🏆 Normal" &amp; _xlpm.normal_warning &amp; " (" &amp; _xlpm.value_text &amp; "s)",
                             "Error"))))),
   _xlpm.winner_text
)</f>
        <v>🏆 Normal⚠️ (0.99s)</v>
      </c>
      <c r="Y34" s="25" t="s">
        <v>671</v>
      </c>
      <c r="Z34" s="25"/>
      <c r="AA34" s="25"/>
      <c r="AB34" s="7"/>
      <c r="AD34" t="s">
        <v>644</v>
      </c>
      <c r="AE34" s="4">
        <f>SUM(AE32:AE33)/2</f>
        <v>1.21</v>
      </c>
      <c r="AF34" s="4">
        <f t="shared" ref="AF34:AG34" si="25">SUM(AF32:AF33)/2</f>
        <v>1.1950000000000001</v>
      </c>
      <c r="AG34" s="4">
        <f t="shared" si="25"/>
        <v>1.1299999999999999</v>
      </c>
      <c r="AH34" t="str">
        <f>_xlfn.LET(
    _xlpm.sym_mean, Y44, _xlpm.sym_stability, AC44, _xlpm.sym_risk_m3, Z21, _xlpm.sym_risk_m5, AJ21,
    _xlpm.dsl_mean, Z44, _xlpm.dsl_stability, AD44, _xlpm.dsl_risk_m3, AA21, _xlpm.dsl_risk_m5, AK21,
    _xlpm.norm_mean, AA44, _xlpm.norm_stability, AE44, _xlpm.norm_risk_m3, AB21, _xlpm.norm_risk_m5, AL21,
    _xlpm.threshold, AJ55,
    _xlpm.min_mean, MIN(_xlpm.sym_mean, _xlpm.dsl_mean, _xlpm.norm_mean),
    _xlpm.tie_count, (_xlpm.sym_mean=_xlpm.min_mean)+(_xlpm.dsl_mean=_xlpm.min_mean)+(_xlpm.norm_mean=_xlpm.min_mean),
    _xlpm.all_tied, AND(ABS(_xlpm.sym_mean-_xlpm.dsl_mean)&lt;_xlpm.threshold, ABS(_xlpm.sym_mean-_xlpm.norm_mean)&lt;_xlpm.threshold, ABS(_xlpm.dsl_mean-_xlpm.norm_mean)&lt;_xlpm.threshold),
    IF(_xlpm.tie_count&gt;1,
        IF(_xlpm.all_tied,
            IF(AND(_xlpm.sym_stability&gt;=_xlpm.dsl_stability, _xlpm.sym_stability&gt;=_xlpm.norm_stability),
                "🏆 Symbolic" &amp; IF(OR(_xlpm.sym_risk_m3="🟡 MODERATE", _xlpm.sym_risk_m5="🟡 MODERATE"), "⚠️", "") &amp; " Conditional Winner (" &amp; TEXT(_xlpm.sym_mean,"0.00") &amp; "s)&lt;br&gt;&lt;sup&gt;⚖️ Three-way statistical tie | Symbolic wins on stability&lt;br&gt;&lt;/sup&gt;",
            IF(AND(_xlpm.dsl_stability&gt;=_xlpm.sym_stability, _xlpm.dsl_stability&gt;=_xlpm.norm_stability),
                "🏆 DSL/JSON" &amp; IF(OR(_xlpm.dsl_risk_m3="🟡 MODERATE", _xlpm.dsl_risk_m5="🟡 MODERATE"), "⚠️", "") &amp; " Conditional Winner (" &amp; TEXT(_xlpm.dsl_mean,"0.00") &amp; "s)&lt;br&gt;&lt;sup&gt;⚖️ Three-way statistical tie | DSL/JSON wins on stability&lt;br&gt;&lt;/sup&gt;",
                "🏆 Normal" &amp; IF(OR(_xlpm.norm_risk_m3="🟡 MODERATE", _xlpm.norm_risk_m5="🟡 MODERATE"), "⚠️", "") &amp; " Conditional Winner (" &amp; TEXT(_xlpm.norm_mean,"0.00") &amp; "s)&lt;br&gt;&lt;sup&gt;⚖️ Three-way statistical tie | Normal wins on stability&lt;br&gt;&lt;/sup&gt;")),
            "🏆 Need complex tie resolution"),
        IF(_xlpm.sym_mean=_xlpm.min_mean,
            "🏆 Symbolic" &amp; IF(OR(_xlpm.sym_risk_m3="🟡 MODERATE", _xlpm.sym_risk_m5="🟡 MODERATE"), "⚠️", "") &amp; " (" &amp; TEXT(_xlpm.sym_mean,"0.00") &amp; "s)",
        IF(_xlpm.dsl_mean=_xlpm.min_mean,
            "🏆 DSL/JSON" &amp; IF(OR(_xlpm.dsl_risk_m3="🟡 MODERATE", _xlpm.dsl_risk_m5="🟡 MODERATE"), "⚠️", "") &amp; " (" &amp; TEXT(_xlpm.dsl_mean,"0.00") &amp; "s)",
            "🏆 Normal" &amp; IF(OR(_xlpm.norm_risk_m3="🟡 MODERATE", _xlpm.norm_risk_m5="🟡 MODERATE"), "⚠️", "") &amp; " (" &amp; TEXT(_xlpm.norm_mean,"0.00") &amp; "s)")))
)</f>
        <v>🏆 Normal⚠️ (1.13s)</v>
      </c>
    </row>
    <row r="35" spans="1:36" x14ac:dyDescent="0.25">
      <c r="A35" t="s">
        <v>78</v>
      </c>
      <c r="B35">
        <v>4</v>
      </c>
      <c r="C35" t="s">
        <v>13</v>
      </c>
      <c r="D35" t="s">
        <v>397</v>
      </c>
      <c r="E35" t="s">
        <v>398</v>
      </c>
      <c r="F35" s="1">
        <v>1.8518518518518518E-5</v>
      </c>
      <c r="G35" t="s">
        <v>16</v>
      </c>
      <c r="H35">
        <v>4</v>
      </c>
      <c r="I35">
        <v>74</v>
      </c>
      <c r="J35">
        <v>78</v>
      </c>
      <c r="L35" t="s">
        <v>17</v>
      </c>
      <c r="M35" s="3">
        <f t="shared" si="0"/>
        <v>1.5909998444840312</v>
      </c>
      <c r="O35" t="s">
        <v>658</v>
      </c>
      <c r="P35">
        <f>($P$34*Z9+AJ9*$P$34)/($P$34*2)</f>
        <v>1.21</v>
      </c>
      <c r="T35" t="s">
        <v>674</v>
      </c>
      <c r="U35" t="str">
        <f>_xlfn.LET(
   _xlpm.symbolic, Z14,
   _xlpm.dsl_json, AA14,
   _xlpm.normal, AB14,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🤝 Tie (1.22s)</v>
      </c>
      <c r="V35" t="str">
        <f>_xlfn.LET(
   _xlpm.symbolic, AJ14,
   _xlpm.dsl_json, AK14,
   _xlpm.normal, AL14,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Normal (1.21s)</v>
      </c>
      <c r="W35" t="str">
        <f>_xlfn.LET(
   _xlpm.symbolic_eligible, $Y$32,
   _xlpm.dsl_eligible, $Z$32,
   _xlpm.normal_eligible, $AA$32,
   _xlpm.symbolic_warning, $Y$36,
   _xlpm.dsl_warning, $Z$36,
   _xlpm.normal_warning, $AA$36,
   _xlpm.symbolic_w1, $P$34,
   _xlpm.symbolic_w2, $P$34,
   _xlpm.symbolic_mean, ($P$34*Z14 + $P$34*AJ14)/($P$34*2),
   _xlpm.dsl_w1, $P$34,
   _xlpm.dsl_w2, $P$34,
   _xlpm.dsl_mean, ($P$34*AA14 + $P$34*AK14)/($P$34*2),
   _xlpm.normal_w1, $P$34,
   _xlpm.normal_w2, $P$34,
   _xlpm.normal_mean, ($P$34*AB14 + $P$34*AL14)/($P$34*2),
   _xlpm.eligible_means, IF(_xlpm.symbolic_eligible, _xlpm.symbolic_mean, 999) &amp; "," &amp;
                    IF(_xlpm.dsl_eligible, _xlpm.dsl_mean, 999) &amp; "," &amp;
                    IF(_xlpm.normal_eligible, _xlpm.normal_mean, 999),
   _xlpm.fastest, MIN(IF(_xlpm.symbolic_eligible, _xlpm.symbolic_mean, 999),
                IF(_xlpm.dsl_eligible, _xlpm.dsl_mean, 999),
                IF(_xlpm.normal_eligible, _xlpm.normal_mean, 999)),
   _xlpm.tie_count, (IF(_xlpm.symbolic_eligible, IF(_xlpm.symbolic_mean=_xlpm.fastest,1,0),0)) +
              (IF(_xlpm.dsl_eligible, IF(_xlpm.dsl_mean=_xlpm.fastest,1,0),0)) +
              (IF(_xlpm.normal_eligible, IF(_xlpm.normal_mean=_xlpm.fastest,1,0),0)),
   _xlpm.value_text, IF(AND(_xlpm.symbolic_eligible, _xlpm.symbolic_mean=_xlpm.fastest), TEXT(_xlpm.symbolic_mean, "0.00"),
                 IF(AND(_xlpm.dsl_eligible, _xlpm.dsl_mean=_xlpm.fastest), TEXT(_xlpm.dsl_mean, "0.00"),
                 IF(AND(_xlpm.normal_eligible, _xlpm.normal_mean=_xlpm.fastest), TEXT(_xlpm.normal_mean, "0.00"), ""))),
   _xlpm.winner_text, IF(_xlpm.tie_count=0, "⚠️ No Eligible Formats",
                 IF(_xlpm.tie_count&gt;1, "🤝 Tie (" &amp; TEXT(_xlpm.fastest, "0.00") &amp; "s)",
                    IF(AND(_xlpm.symbolic_eligible, _xlpm.symbolic_mean=_xlpm.fastest),
                       "🏆 Symbolic" &amp; _xlpm.symbolic_warning &amp; " (" &amp; _xlpm.value_text &amp; "s)",
                       IF(AND(_xlpm.dsl_eligible, _xlpm.dsl_mean=_xlpm.fastest),
                          "🏆 DSL/JSON" &amp; _xlpm.dsl_warning &amp; " (" &amp; _xlpm.value_text &amp; "s)",
                          IF(AND(_xlpm.normal_eligible, _xlpm.normal_mean=_xlpm.fastest),
                             "🏆 Normal" &amp; _xlpm.normal_warning &amp; " (" &amp; _xlpm.value_text &amp; "s)",
                             "Error"))))),
   _xlpm.winner_text
)</f>
        <v>🏆 Normal⚠️ (1.22s)</v>
      </c>
      <c r="Y35" s="21" t="s">
        <v>668</v>
      </c>
      <c r="Z35" s="21" t="s">
        <v>669</v>
      </c>
      <c r="AA35" s="21" t="s">
        <v>670</v>
      </c>
      <c r="AE35" s="4"/>
      <c r="AF35" s="4"/>
      <c r="AG35" s="4"/>
      <c r="AI35" s="23" t="s">
        <v>686</v>
      </c>
      <c r="AJ35" s="23"/>
    </row>
    <row r="36" spans="1:36" x14ac:dyDescent="0.25">
      <c r="A36" t="s">
        <v>78</v>
      </c>
      <c r="B36">
        <v>5</v>
      </c>
      <c r="C36" t="s">
        <v>13</v>
      </c>
      <c r="D36" t="s">
        <v>399</v>
      </c>
      <c r="E36" t="s">
        <v>400</v>
      </c>
      <c r="F36" s="1">
        <v>1.7361111111111111E-5</v>
      </c>
      <c r="G36" t="s">
        <v>16</v>
      </c>
      <c r="H36">
        <v>4</v>
      </c>
      <c r="I36">
        <v>74</v>
      </c>
      <c r="J36">
        <v>78</v>
      </c>
      <c r="L36" t="s">
        <v>17</v>
      </c>
      <c r="M36" s="3">
        <f t="shared" si="0"/>
        <v>1.4559994451701641</v>
      </c>
      <c r="O36" t="s">
        <v>659</v>
      </c>
      <c r="P36">
        <f>($P$34*AA9+AK9*$P$34)/($P$34*2)</f>
        <v>1.1950000000000001</v>
      </c>
      <c r="T36" t="s">
        <v>675</v>
      </c>
      <c r="U36" t="str">
        <f>_xlfn.LET(
   _xlpm.symbolic, Z15,
   _xlpm.dsl_json, AA15,
   _xlpm.normal, AB15,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🤝 Tie (0.08s)</v>
      </c>
      <c r="V36" t="str">
        <f>_xlfn.LET(
   _xlpm.symbolic, AJ15,
   _xlpm.dsl_json, AK15,
   _xlpm.normal, AL15,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Normal (0.06s)</v>
      </c>
      <c r="W36" t="str">
        <f>_xlfn.LET(
   _xlpm.symbolic_eligible, $Y$32,
   _xlpm.dsl_eligible, $Z$32,
   _xlpm.normal_eligible, $AA$32,
   _xlpm.symbolic_warning, $Y$36,
   _xlpm.dsl_warning, $Z$36,
   _xlpm.normal_warning, $AA$36,
   _xlpm.symbolic_w1, $P$34,
   _xlpm.symbolic_w2, $P$34,
   _xlpm.symbolic_mean, ($P$34*Z15 + $P$34*AJ15)/($P$34*2),
   _xlpm.dsl_w1, $P$34,
   _xlpm.dsl_w2, $P$34,
   _xlpm.dsl_mean, ($P$34*AA15 + $P$34*AK15)/($P$34*2),
   _xlpm.normal_w1, $P$34,
   _xlpm.normal_w2, $P$34,
   _xlpm.normal_mean, ($P$34*AB15 + $P$34*AL15)/($P$34*2),
   _xlpm.eligible_means, IF(_xlpm.symbolic_eligible, _xlpm.symbolic_mean, 999) &amp; "," &amp;
                    IF(_xlpm.dsl_eligible, _xlpm.dsl_mean, 999) &amp; "," &amp;
                    IF(_xlpm.normal_eligible, _xlpm.normal_mean, 999),
   _xlpm.fastest, MIN(IF(_xlpm.symbolic_eligible, _xlpm.symbolic_mean, 999),
                IF(_xlpm.dsl_eligible, _xlpm.dsl_mean, 999),
                IF(_xlpm.normal_eligible, _xlpm.normal_mean, 999)),
   _xlpm.tie_count, (IF(_xlpm.symbolic_eligible, IF(_xlpm.symbolic_mean=_xlpm.fastest,1,0),0)) +
              (IF(_xlpm.dsl_eligible, IF(_xlpm.dsl_mean=_xlpm.fastest,1,0),0)) +
              (IF(_xlpm.normal_eligible, IF(_xlpm.normal_mean=_xlpm.fastest,1,0),0)),
   _xlpm.value_text, IF(AND(_xlpm.symbolic_eligible, _xlpm.symbolic_mean=_xlpm.fastest), TEXT(_xlpm.symbolic_mean, "0.00"),
                 IF(AND(_xlpm.dsl_eligible, _xlpm.dsl_mean=_xlpm.fastest), TEXT(_xlpm.dsl_mean, "0.00"),
                 IF(AND(_xlpm.normal_eligible, _xlpm.normal_mean=_xlpm.fastest), TEXT(_xlpm.normal_mean, "0.00"), ""))),
   _xlpm.winner_text, IF(_xlpm.tie_count=0, "⚠️ No Eligible Formats",
                 IF(_xlpm.tie_count&gt;1, "🤝 Tie (" &amp; TEXT(_xlpm.fastest, "0.00") &amp; "s)",
                    IF(AND(_xlpm.symbolic_eligible, _xlpm.symbolic_mean=_xlpm.fastest),
                       "🏆 Symbolic" &amp; _xlpm.symbolic_warning &amp; " (" &amp; _xlpm.value_text &amp; "s)",
                       IF(AND(_xlpm.dsl_eligible, _xlpm.dsl_mean=_xlpm.fastest),
                          "🏆 DSL/JSON" &amp; _xlpm.dsl_warning &amp; " (" &amp; _xlpm.value_text &amp; "s)",
                          IF(AND(_xlpm.normal_eligible, _xlpm.normal_mean=_xlpm.fastest),
                             "🏆 Normal" &amp; _xlpm.normal_warning &amp; " (" &amp; _xlpm.value_text &amp; "s)",
                             "Error"))))),
   _xlpm.winner_text
)</f>
        <v>🏆 Normal⚠️ (0.07s)</v>
      </c>
      <c r="Y36" s="22" t="str">
        <f>IF(AND(Y32=TRUE,OR(Z21="🟡 MODERATE",AJ21="🟡 MODERATE")), "⚠️", "")</f>
        <v/>
      </c>
      <c r="Z36" s="22" t="str">
        <f t="shared" ref="Z36:AA36" si="26">IF(AND(Z32=TRUE,OR(AA21="🟡 MODERATE",AK21="🟡 MODERATE")), "⚠️", "")</f>
        <v/>
      </c>
      <c r="AA36" s="22" t="str">
        <f t="shared" si="26"/>
        <v>⚠️</v>
      </c>
      <c r="AE36" s="4"/>
      <c r="AF36" s="4"/>
      <c r="AG36" s="4"/>
      <c r="AI36" t="s">
        <v>687</v>
      </c>
      <c r="AJ36" t="s">
        <v>688</v>
      </c>
    </row>
    <row r="37" spans="1:36" x14ac:dyDescent="0.25">
      <c r="A37" t="s">
        <v>78</v>
      </c>
      <c r="B37">
        <v>6</v>
      </c>
      <c r="C37" t="s">
        <v>13</v>
      </c>
      <c r="D37" t="s">
        <v>401</v>
      </c>
      <c r="E37" t="s">
        <v>402</v>
      </c>
      <c r="F37" s="1">
        <v>1.7361111111111111E-5</v>
      </c>
      <c r="G37" t="s">
        <v>16</v>
      </c>
      <c r="H37">
        <v>4</v>
      </c>
      <c r="I37">
        <v>74</v>
      </c>
      <c r="J37">
        <v>78</v>
      </c>
      <c r="L37" t="s">
        <v>17</v>
      </c>
      <c r="M37" s="3">
        <f t="shared" si="0"/>
        <v>1.5409994870424271</v>
      </c>
      <c r="O37" t="s">
        <v>660</v>
      </c>
      <c r="P37">
        <f>($P$34*AB9+AL9*$P$34)/($P$34*2)</f>
        <v>1.1299999999999999</v>
      </c>
      <c r="T37" t="s">
        <v>676</v>
      </c>
      <c r="U37" t="str">
        <f>_xlfn.LET(
   _xlpm.symbolic, Z17,
   _xlpm.dsl_json, AA17,
   _xlpm.normal, AB17,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DSL/JSON (1.21s)</v>
      </c>
      <c r="V37" t="str">
        <f>_xlfn.LET(
   _xlpm.symbolic, AJ17,
   _xlpm.dsl_json, AK17,
   _xlpm.normal, AL17,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Normal (1.21s)</v>
      </c>
      <c r="W37" t="str">
        <f>_xlfn.LET(
   _xlpm.symbolic_eligible, $Y$32,
   _xlpm.dsl_eligible, $Z$32,
   _xlpm.normal_eligible, $AA$32,
   _xlpm.symbolic_warning, $Y$36,
   _xlpm.dsl_warning, $Z$36,
   _xlpm.normal_warning, $AA$36,
   _xlpm.symbolic_w1, $P$34,
   _xlpm.symbolic_w2, $P$34,
   _xlpm.symbolic_mean, ($P$34*Z17 + $P$34*AJ17)/($P$34*2),
   _xlpm.dsl_w1, $P$34,
   _xlpm.dsl_w2, $P$34,
   _xlpm.dsl_mean, ($P$34*AA17 + $P$34*AK17)/($P$34*2),
   _xlpm.normal_w1, $P$34,
   _xlpm.normal_w2, $P$34,
   _xlpm.normal_mean, ($P$34*AB17 + $P$34*AL17)/($P$34*2),
   _xlpm.eligible_means, IF(_xlpm.symbolic_eligible, _xlpm.symbolic_mean, 999) &amp; "," &amp;
                    IF(_xlpm.dsl_eligible, _xlpm.dsl_mean, 999) &amp; "," &amp;
                    IF(_xlpm.normal_eligible, _xlpm.normal_mean, 999),
   _xlpm.fastest, MIN(IF(_xlpm.symbolic_eligible, _xlpm.symbolic_mean, 999),
                IF(_xlpm.dsl_eligible, _xlpm.dsl_mean, 999),
                IF(_xlpm.normal_eligible, _xlpm.normal_mean, 999)),
   _xlpm.tie_count, (IF(_xlpm.symbolic_eligible, IF(_xlpm.symbolic_mean=_xlpm.fastest,1,0),0)) +
              (IF(_xlpm.dsl_eligible, IF(_xlpm.dsl_mean=_xlpm.fastest,1,0),0)) +
              (IF(_xlpm.normal_eligible, IF(_xlpm.normal_mean=_xlpm.fastest,1,0),0)),
   _xlpm.value_text, IF(AND(_xlpm.symbolic_eligible, _xlpm.symbolic_mean=_xlpm.fastest), TEXT(_xlpm.symbolic_mean, "0.00"),
                 IF(AND(_xlpm.dsl_eligible, _xlpm.dsl_mean=_xlpm.fastest), TEXT(_xlpm.dsl_mean, "0.00"),
                 IF(AND(_xlpm.normal_eligible, _xlpm.normal_mean=_xlpm.fastest), TEXT(_xlpm.normal_mean, "0.00"), ""))),
   _xlpm.winner_text, IF(_xlpm.tie_count=0, "⚠️ No Eligible Formats",
                 IF(_xlpm.tie_count&gt;1, "🤝 Tie (" &amp; TEXT(_xlpm.fastest, "0.00") &amp; "s)",
                    IF(AND(_xlpm.symbolic_eligible, _xlpm.symbolic_mean=_xlpm.fastest),
                       "🏆 Symbolic" &amp; _xlpm.symbolic_warning &amp; " (" &amp; _xlpm.value_text &amp; "s)",
                       IF(AND(_xlpm.dsl_eligible, _xlpm.dsl_mean=_xlpm.fastest),
                          "🏆 DSL/JSON" &amp; _xlpm.dsl_warning &amp; " (" &amp; _xlpm.value_text &amp; "s)",
                          IF(AND(_xlpm.normal_eligible, _xlpm.normal_mean=_xlpm.fastest),
                             "🏆 Normal" &amp; _xlpm.normal_warning &amp; " (" &amp; _xlpm.value_text &amp; "s)",
                             "Error"))))),
   _xlpm.winner_text
)</f>
        <v>🏆 Normal⚠️ (1.22s)</v>
      </c>
      <c r="Z37" s="7"/>
      <c r="AE37" s="4"/>
      <c r="AF37" s="4"/>
      <c r="AG37" s="4"/>
      <c r="AI37" t="s">
        <v>689</v>
      </c>
      <c r="AJ37">
        <f>MIN(IF(AND(Y32=TRUE, Y40="✅ ELIGIBLE"), Y44, 9999),
     IF(AND(Z32=TRUE, Z40="✅ ELIGIBLE"), Z44, 9999),
     IF(AND(AA32=TRUE, AA40="✅ ELIGIBLE"), AA44, 9999))</f>
        <v>1.1299999999999999</v>
      </c>
    </row>
    <row r="38" spans="1:36" x14ac:dyDescent="0.25">
      <c r="A38" t="s">
        <v>78</v>
      </c>
      <c r="B38">
        <v>7</v>
      </c>
      <c r="C38" t="s">
        <v>13</v>
      </c>
      <c r="D38" t="s">
        <v>403</v>
      </c>
      <c r="E38" t="s">
        <v>404</v>
      </c>
      <c r="F38" s="1">
        <v>1.8518518518518518E-5</v>
      </c>
      <c r="G38" t="s">
        <v>16</v>
      </c>
      <c r="H38">
        <v>4</v>
      </c>
      <c r="I38">
        <v>74</v>
      </c>
      <c r="J38">
        <v>78</v>
      </c>
      <c r="L38" t="s">
        <v>17</v>
      </c>
      <c r="M38" s="3">
        <f t="shared" si="0"/>
        <v>1.567000150680542</v>
      </c>
      <c r="O38" t="s">
        <v>661</v>
      </c>
      <c r="P38">
        <f>MIN(P9:R9)*0.05</f>
        <v>5.6999999999999995E-2</v>
      </c>
      <c r="T38" t="s">
        <v>677</v>
      </c>
      <c r="U38" t="str">
        <f>_xlfn.LET(
   _xlpm.symbolic, Z19,
   _xlpm.dsl_json, AA19,
   _xlpm.normal, AB19,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Normal (0.06s)</v>
      </c>
      <c r="V38" t="str">
        <f>_xlfn.LET(
   _xlpm.symbolic, AJ19,
   _xlpm.dsl_json, AK19,
   _xlpm.normal, AL19,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Symbolic (0.07s)</v>
      </c>
      <c r="W38" t="str">
        <f>_xlfn.LET(
   _xlpm.symbolic_eligible, $Y$32,
   _xlpm.dsl_eligible, $Z$32,
   _xlpm.normal_eligible, $AA$32,
   _xlpm.symbolic_warning, $Y$36,
   _xlpm.dsl_warning, $Z$36,
   _xlpm.normal_warning, $AA$36,
   _xlpm.symbolic_w1, $P$34,
   _xlpm.symbolic_w2, $P$34,
   _xlpm.symbolic_mean, ($P$34*Z19 + $P$34*AJ19)/($P$34*2),
   _xlpm.dsl_w1, $P$34,
   _xlpm.dsl_w2, $P$34,
   _xlpm.dsl_mean, ($P$34*AA19 + $P$34*AK19)/($P$34*2),
   _xlpm.normal_w1, $P$34,
   _xlpm.normal_w2, $P$34,
   _xlpm.normal_mean, ($P$34*AB19 + $P$34*AL19)/($P$34*2),
   _xlpm.eligible_means, IF(_xlpm.symbolic_eligible, _xlpm.symbolic_mean, 999) &amp; "," &amp;
                    IF(_xlpm.dsl_eligible, _xlpm.dsl_mean, 999) &amp; "," &amp;
                    IF(_xlpm.normal_eligible, _xlpm.normal_mean, 999),
   _xlpm.fastest, MIN(IF(_xlpm.symbolic_eligible, _xlpm.symbolic_mean, 999),
                IF(_xlpm.dsl_eligible, _xlpm.dsl_mean, 999),
                IF(_xlpm.normal_eligible, _xlpm.normal_mean, 999)),
   _xlpm.tie_count, (IF(_xlpm.symbolic_eligible, IF(_xlpm.symbolic_mean=_xlpm.fastest,1,0),0)) +
              (IF(_xlpm.dsl_eligible, IF(_xlpm.dsl_mean=_xlpm.fastest,1,0),0)) +
              (IF(_xlpm.normal_eligible, IF(_xlpm.normal_mean=_xlpm.fastest,1,0),0)),
   _xlpm.value_text, IF(AND(_xlpm.symbolic_eligible, _xlpm.symbolic_mean=_xlpm.fastest), TEXT(_xlpm.symbolic_mean, "0.00"),
                 IF(AND(_xlpm.dsl_eligible, _xlpm.dsl_mean=_xlpm.fastest), TEXT(_xlpm.dsl_mean, "0.00"),
                 IF(AND(_xlpm.normal_eligible, _xlpm.normal_mean=_xlpm.fastest), TEXT(_xlpm.normal_mean, "0.00"), ""))),
   _xlpm.winner_text, IF(_xlpm.tie_count=0, "⚠️ No Eligible Formats",
                 IF(_xlpm.tie_count&gt;1, "🤝 Tie (" &amp; TEXT(_xlpm.fastest, "0.00") &amp; "s)",
                    IF(AND(_xlpm.symbolic_eligible, _xlpm.symbolic_mean=_xlpm.fastest),
                       "🏆 Symbolic" &amp; _xlpm.symbolic_warning &amp; " (" &amp; _xlpm.value_text &amp; "s)",
                       IF(AND(_xlpm.dsl_eligible, _xlpm.dsl_mean=_xlpm.fastest),
                          "🏆 DSL/JSON" &amp; _xlpm.dsl_warning &amp; " (" &amp; _xlpm.value_text &amp; "s)",
                          IF(AND(_xlpm.normal_eligible, _xlpm.normal_mean=_xlpm.fastest),
                             "🏆 Normal" &amp; _xlpm.normal_warning &amp; " (" &amp; _xlpm.value_text &amp; "s)",
                             "Error"))))),
   _xlpm.winner_text
)</f>
        <v>🏆 Normal⚠️ (0.07s)</v>
      </c>
      <c r="Y38" s="24" t="s">
        <v>684</v>
      </c>
      <c r="Z38" s="24"/>
      <c r="AA38" s="24"/>
      <c r="AE38" s="4"/>
      <c r="AF38" s="4"/>
      <c r="AG38" s="4"/>
      <c r="AI38" t="s">
        <v>690</v>
      </c>
      <c r="AJ38">
        <f>ROUND(AJ37 * 0.05,2)</f>
        <v>0.06</v>
      </c>
    </row>
    <row r="39" spans="1:36" x14ac:dyDescent="0.25">
      <c r="A39" t="s">
        <v>78</v>
      </c>
      <c r="B39">
        <v>8</v>
      </c>
      <c r="C39" t="s">
        <v>13</v>
      </c>
      <c r="D39" t="s">
        <v>405</v>
      </c>
      <c r="E39" t="s">
        <v>406</v>
      </c>
      <c r="F39" s="1">
        <v>2.0833333333333333E-5</v>
      </c>
      <c r="G39" t="s">
        <v>16</v>
      </c>
      <c r="H39">
        <v>4</v>
      </c>
      <c r="I39">
        <v>74</v>
      </c>
      <c r="J39">
        <v>78</v>
      </c>
      <c r="L39" t="s">
        <v>17</v>
      </c>
      <c r="M39" s="3">
        <f t="shared" si="0"/>
        <v>1.8309999257326126</v>
      </c>
      <c r="O39" t="s">
        <v>647</v>
      </c>
      <c r="P39" t="str">
        <f>_xlfn.LET(
    _xlpm.sym_mean, P9,
    _xlpm.dsl_mean, Q9,
    _xlpm.norm_mean, R9,
    _xlpm.sym_iqr_m3, Z20,
    _xlpm.dsl_iqr_m3, AA20,
    _xlpm.norm_iqr_m3, AB20,
    _xlpm.sym_p95_m3, Z17,
    _xlpm.dsl_p95_m3, AA17,
    _xlpm.norm_p95_m3, AB17,
    _xlpm.sym_iqr_m5, AJ20,
    _xlpm.dsl_iqr_m5, AK20,
    _xlpm.norm_iqr_m5, AL20,
    _xlpm.sym_p95_m5, AJ17,
    _xlpm.dsl_p95_m5, AK17,
    _xlpm.norm_p95_m5, AL17,
    _xlpm.t_m3, AB28,
    _xlpm.t_m5, AL28,
    _xlpm.threshold, P38,
    _xlpm.sym_risk_m3, IF(_xlpm.sym_iqr_m3 &lt; 20, "✅",
                   IF(AND(_xlpm.sym_iqr_m3 &gt;= 20, _xlpm.sym_iqr_m3 &lt; 30),
                       IF(_xlpm.sym_p95_m3 &lt; _xlpm.t_m3, "🟡", "🔴"),
                       IF(AND(_xlpm.sym_iqr_m3 &gt;= 30, _xlpm.sym_iqr_m3 &lt;= 50), "🔴",
                           IF(_xlpm.sym_iqr_m3 &gt; 50, "🚨", "⚠️")))),
    _xlpm.dsl_risk_m3, IF(_xlpm.dsl_iqr_m3 &lt; 20, "✅",
                   IF(AND(_xlpm.dsl_iqr_m3 &gt;= 20, _xlpm.dsl_iqr_m3 &lt; 30),
                       IF(_xlpm.dsl_p95_m3 &lt; _xlpm.t_m3, "🟡", "🔴"),
                       IF(AND(_xlpm.dsl_iqr_m3 &gt;= 30, _xlpm.dsl_iqr_m3 &lt;= 50), "🔴",
                           IF(_xlpm.dsl_iqr_m3 &gt; 50, "🚨", "⚠️")))),
    _xlpm.norm_risk_m3, IF(_xlpm.norm_iqr_m3 &lt; 20, "✅",
                    IF(AND(_xlpm.norm_iqr_m3 &gt;= 20, _xlpm.norm_iqr_m3 &lt; 30),
                        IF(_xlpm.norm_p95_m3 &lt; _xlpm.t_m3, "🟡", "🔴"),
                        IF(AND(_xlpm.norm_iqr_m3 &gt;= 30, _xlpm.norm_iqr_m3 &lt;= 50), "🔴",
                            IF(_xlpm.norm_iqr_m3 &gt; 50, "🚨", "⚠️")))),
    _xlpm.sym_risk_m5, IF(_xlpm.sym_iqr_m5 &lt; 20, "✅",
                   IF(AND(_xlpm.sym_iqr_m5 &gt;= 20, _xlpm.sym_iqr_m5 &lt; 30),
                       IF(_xlpm.sym_p95_m5 &lt; _xlpm.t_m5, "🟡", "🔴"),
                       IF(AND(_xlpm.sym_iqr_m5 &gt;= 30, _xlpm.sym_iqr_m5 &lt;= 50), "🔴",
                           IF(_xlpm.sym_iqr_m5 &gt; 50, "🚨", "⚠️")))),
    _xlpm.dsl_risk_m5, IF(_xlpm.dsl_iqr_m5 &lt; 20, "✅",
                   IF(AND(_xlpm.dsl_iqr_m5 &gt;= 20, _xlpm.dsl_iqr_m5 &lt; 30),
                       IF(_xlpm.dsl_p95_m5 &lt; _xlpm.t_m5, "🟡", "🔴"),
                       IF(AND(_xlpm.dsl_iqr_m5 &gt;= 30, _xlpm.dsl_iqr_m5 &lt;= 50), "🔴",
                           IF(_xlpm.dsl_iqr_m5 &gt; 50, "🚨", "⚠️")))),
    _xlpm.norm_risk_m5, IF(_xlpm.norm_iqr_m5 &lt; 20, "✅",
                    IF(AND(_xlpm.norm_iqr_m5 &gt;= 20, _xlpm.norm_iqr_m5 &lt; 30),
                        IF(_xlpm.norm_p95_m5 &lt; _xlpm.t_m5, "🟡", "🔴"),
                        IF(AND(_xlpm.norm_iqr_m5 &gt;= 30, _xlpm.norm_iqr_m5 &lt;= 50), "🔴",
                            IF(_xlpm.norm_iqr_m5 &gt; 50, "🚨", "⚠️")))),
    _xlpm.sym_eligible, AND(_xlpm.sym_risk_m3 &lt;&gt; "🔴", _xlpm.sym_risk_m3 &lt;&gt; "🚨",
                     _xlpm.sym_risk_m5 &lt;&gt; "🔴", _xlpm.sym_risk_m5 &lt;&gt; "🚨"),
    _xlpm.dsl_eligible, AND(_xlpm.dsl_risk_m3 &lt;&gt; "🔴", _xlpm.dsl_risk_m3 &lt;&gt; "🚨",
                     _xlpm.dsl_risk_m5 &lt;&gt; "🔴", _xlpm.dsl_risk_m5 &lt;&gt; "🚨"),
    _xlpm.norm_eligible, AND(_xlpm.norm_risk_m3 &lt;&gt; "🔴", _xlpm.norm_risk_m3 &lt;&gt; "🚨",
                      _xlpm.norm_risk_m5 &lt;&gt; "🔴", _xlpm.norm_risk_m5 &lt;&gt; "🚨"),
    _xlpm.min_eligible, MIN(
        IF(_xlpm.sym_eligible, _xlpm.sym_mean, 9999),
        IF(_xlpm.dsl_eligible, _xlpm.dsl_mean, 9999),
        IF(_xlpm.norm_eligible, _xlpm.norm_mean, 9999)
    ),
    _xlpm.tie_count, (_xlpm.sym_eligible * (_xlpm.sym_mean = _xlpm.min_eligible)) +
               (_xlpm.dsl_eligible * (_xlpm.dsl_mean = _xlpm.min_eligible)) +
               (_xlpm.norm_eligible * (_xlpm.norm_mean = _xlpm.min_eligible)),
    _xlpm.second_best, MIN(
        IF(_xlpm.sym_eligible * (_xlpm.sym_mean &gt; _xlpm.min_eligible), _xlpm.sym_mean, 9999),
        IF(_xlpm.dsl_eligible * (_xlpm.dsl_mean &gt; _xlpm.min_eligible), _xlpm.dsl_mean, 9999),
        IF(_xlpm.norm_eligible * (_xlpm.norm_mean &gt; _xlpm.min_eligible), _xlpm.norm_mean, 9999)
    ),
    _xlpm.diff, _xlpm.second_best - _xlpm.min_eligible,
    _xlpm.sym_risk_combined, IF(OR(_xlpm.sym_risk_m3 = "🔴", _xlpm.sym_risk_m3 = "🚨",
                            _xlpm.sym_risk_m5 = "🔴", _xlpm.sym_risk_m5 = "🚨"), "🔴",
                         IF(OR(_xlpm.sym_risk_m3 = "🟡", _xlpm.sym_risk_m5 = "🟡"), "🟡", "✅")),
    _xlpm.dsl_risk_combined, IF(OR(_xlpm.dsl_risk_m3 = "🔴", _xlpm.dsl_risk_m3 = "🚨",
                            _xlpm.dsl_risk_m5 = "🔴", _xlpm.dsl_risk_m5 = "🚨"), "🔴",
                         IF(OR(_xlpm.dsl_risk_m3 = "🟡", _xlpm.dsl_risk_m5 = "🟡"), "🟡", "✅")),
    _xlpm.norm_risk_combined, IF(OR(_xlpm.norm_risk_m3 = "🔴", _xlpm.norm_risk_m3 = "🚨",
                             _xlpm.norm_risk_m5 = "🔴", _xlpm.norm_risk_m5 = "🚨"), "🔴",
                          IF(OR(_xlpm.norm_risk_m3 = "🟡", _xlpm.norm_risk_m5 = "🟡"), "🟡", "✅")),
    _xlpm.winner_text, IF(_xlpm.sym_eligible * (_xlpm.sym_mean = _xlpm.min_eligible),
                    "Symbolic" &amp; IF(_xlpm.sym_risk_combined = "🟡", "⚠️", ""),
                   IF(_xlpm.dsl_eligible * (_xlpm.dsl_mean = _xlpm.min_eligible),
                    "DSL/JSON" &amp; IF(_xlpm.dsl_risk_combined = "🟡", "⚠️", ""),
                   IF(_xlpm.norm_eligible * (_xlpm.norm_mean = _xlpm.min_eligible),
                    "Normal" &amp; IF(_xlpm.norm_risk_combined = "🟡", "⚠️", ""), ""))),
    IF(_xlpm.min_eligible = 9999,
        "⚠️ No Eligible Formats",
        IF(_xlpm.tie_count &gt; 1,
            "⚖️ Statistical Tie†",
            IF(_xlpm.diff &lt; _xlpm.threshold,
                "⚖️ Statistical Tie†",
                "🏆 " &amp; _xlpm.winner_text
            )
        )
    )
)</f>
        <v>🏆 Normal⚠️</v>
      </c>
      <c r="T39" t="s">
        <v>678</v>
      </c>
      <c r="U39" t="str">
        <f>_xlfn.LET(
   _xlpm.symbolic, Z22,
   _xlpm.dsl_json, AA22,
   _xlpm.normal, AB22,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DSL/JSON (0.23s)</v>
      </c>
      <c r="V39" t="str">
        <f>_xlfn.LET(
   _xlpm.symbolic, AJ22,
   _xlpm.dsl_json, AK22,
   _xlpm.normal, AL22,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🤝 Tie (0.21s)</v>
      </c>
      <c r="W39" t="str">
        <f>_xlfn.LET(
   _xlpm.symbolic_eligible, $Y$32,
   _xlpm.dsl_eligible, $Z$32,
   _xlpm.normal_eligible, $AA$32,
   _xlpm.symbolic_warning, $Y$36,
   _xlpm.dsl_warning, $Z$36,
   _xlpm.normal_warning, $AA$36,
   _xlpm.symbolic_w1, $P$34,
   _xlpm.symbolic_w2, $P$34,
   _xlpm.symbolic_mean, ($P$34*Z22 + $P$34*AJ22)/($P$34*2),
   _xlpm.dsl_w1, $P$34,
   _xlpm.dsl_w2, $P$34,
   _xlpm.dsl_mean, ($P$34*AA22 + $P$34*AK22)/($P$34*2),
   _xlpm.normal_w1, $P$34,
   _xlpm.normal_w2, $P$34,
   _xlpm.normal_mean, ($P$34*AB22 + $P$34*AL22)/($P$34*2),
   _xlpm.eligible_means, IF(_xlpm.symbolic_eligible, _xlpm.symbolic_mean, 999) &amp; "," &amp;
                    IF(_xlpm.dsl_eligible, _xlpm.dsl_mean, 999) &amp; "," &amp;
                    IF(_xlpm.normal_eligible, _xlpm.normal_mean, 999),
   _xlpm.fastest, MIN(IF(_xlpm.symbolic_eligible, _xlpm.symbolic_mean, 999),
                IF(_xlpm.dsl_eligible, _xlpm.dsl_mean, 999),
                IF(_xlpm.normal_eligible, _xlpm.normal_mean, 999)),
   _xlpm.tie_count, (IF(_xlpm.symbolic_eligible, IF(_xlpm.symbolic_mean=_xlpm.fastest,1,0),0)) +
              (IF(_xlpm.dsl_eligible, IF(_xlpm.dsl_mean=_xlpm.fastest,1,0),0)) +
              (IF(_xlpm.normal_eligible, IF(_xlpm.normal_mean=_xlpm.fastest,1,0),0)),
   _xlpm.value_text, IF(AND(_xlpm.symbolic_eligible, _xlpm.symbolic_mean=_xlpm.fastest), TEXT(_xlpm.symbolic_mean, "0.00"),
                 IF(AND(_xlpm.dsl_eligible, _xlpm.dsl_mean=_xlpm.fastest), TEXT(_xlpm.dsl_mean, "0.00"),
                 IF(AND(_xlpm.normal_eligible, _xlpm.normal_mean=_xlpm.fastest), TEXT(_xlpm.normal_mean, "0.00"), ""))),
   _xlpm.winner_text, IF(_xlpm.tie_count=0, "⚠️ No Eligible Formats",
                 IF(_xlpm.tie_count&gt;1, "🤝 Tie (" &amp; TEXT(_xlpm.fastest, "0.00") &amp; "s)",
                    IF(AND(_xlpm.symbolic_eligible, _xlpm.symbolic_mean=_xlpm.fastest),
                       "🏆 Symbolic" &amp; _xlpm.symbolic_warning &amp; " (" &amp; _xlpm.value_text &amp; "s)",
                       IF(AND(_xlpm.dsl_eligible, _xlpm.dsl_mean=_xlpm.fastest),
                          "🏆 DSL/JSON" &amp; _xlpm.dsl_warning &amp; " (" &amp; _xlpm.value_text &amp; "s)",
                          IF(AND(_xlpm.normal_eligible, _xlpm.normal_mean=_xlpm.fastest),
                             "🏆 Normal" &amp; _xlpm.normal_warning &amp; " (" &amp; _xlpm.value_text &amp; "s)",
                             "Error"))))),
   _xlpm.winner_text
)</f>
        <v>🏆 Normal⚠️ (0.23s)</v>
      </c>
      <c r="Y39" s="21" t="s">
        <v>668</v>
      </c>
      <c r="Z39" s="21" t="s">
        <v>669</v>
      </c>
      <c r="AA39" s="21" t="s">
        <v>670</v>
      </c>
      <c r="AE39" s="7"/>
      <c r="AF39" s="7"/>
      <c r="AG39" s="7"/>
      <c r="AI39" t="s">
        <v>691</v>
      </c>
      <c r="AJ39">
        <f>MIN(
   IF(AND(Y32=TRUE, Y40="✅ ELIGIBLE"), Y44, 9999),
   IF(AND(Z32=TRUE, Z40="✅ ELIGIBLE"), Z44, 9999),
   IF(AND(AA32=TRUE, AA40="✅ ELIGIBLE"), AA44, 9999),
   IF(
      MIN(
         IF(AND(Y32=TRUE, Y40="✅ ELIGIBLE"), Y44, 9999),
         IF(AND(Z32=TRUE, Z40="✅ ELIGIBLE"), Z44, 9999),
         IF(AND(AA32=TRUE, AA40="✅ ELIGIBLE"), AA44, 9999)
      ) =
      IF(AND(Y32=TRUE, Y40="✅ ELIGIBLE"), Y44, 9999), 9999,
      IF(AND(Y32=TRUE, Y40="✅ ELIGIBLE"), Y44, 9999)
   ),
   IF(
      MIN(
         IF(AND(Y32=TRUE, Y40="✅ ELIGIBLE"), Y44, 9999),
         IF(AND(Z32=TRUE, Z40="✅ ELIGIBLE"), Z44, 9999),
         IF(AND(AA32=TRUE, AA40="✅ ELIGIBLE"), AA44, 9999)
      ) =
      IF(AND(Z32=TRUE, Z40="✅ ELIGIBLE"), Z44, 9999), 9999,
      IF(AND(Z32=TRUE, Z40="✅ ELIGIBLE"), Z44, 9999)
   ),
   IF(
      MIN(
         IF(AND(Y32=TRUE, Y40="✅ ELIGIBLE"), Y44, 9999),
         IF(AND(Z32=TRUE, Z40="✅ ELIGIBLE"), Z44, 9999),
         IF(AND(AA32=TRUE, AA40="✅ ELIGIBLE"), AA44, 9999)
      ) =
      IF(AND(AA32=TRUE, AA40="✅ ELIGIBLE"), AA44, 9999), 9999,
      IF(AND(AA32=TRUE, AA40="✅ ELIGIBLE"), AA44, 9999)
   )
)</f>
        <v>1.1299999999999999</v>
      </c>
    </row>
    <row r="40" spans="1:36" x14ac:dyDescent="0.25">
      <c r="A40" t="s">
        <v>78</v>
      </c>
      <c r="B40">
        <v>9</v>
      </c>
      <c r="C40" t="s">
        <v>13</v>
      </c>
      <c r="D40" t="s">
        <v>407</v>
      </c>
      <c r="E40" t="s">
        <v>408</v>
      </c>
      <c r="F40" s="1">
        <v>1.3888888888888888E-5</v>
      </c>
      <c r="G40" t="s">
        <v>16</v>
      </c>
      <c r="H40">
        <v>4</v>
      </c>
      <c r="I40">
        <v>74</v>
      </c>
      <c r="J40">
        <v>78</v>
      </c>
      <c r="L40" t="s">
        <v>17</v>
      </c>
      <c r="M40" s="3">
        <f t="shared" si="0"/>
        <v>1.2369998032227159</v>
      </c>
      <c r="T40" t="s">
        <v>679</v>
      </c>
      <c r="U40" t="str">
        <f>_xlfn.LET(
   _xlpm.symbolic, Z23,
   _xlpm.dsl_json, AA23,
   _xlpm.normal, AB23,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Normal (0.07s)</v>
      </c>
      <c r="V40" t="str">
        <f>_xlfn.LET(
   _xlpm.symbolic, AJ23,
   _xlpm.dsl_json, AK23,
   _xlpm.normal, AL23,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Normal (0.05s)</v>
      </c>
      <c r="W40" t="str">
        <f>_xlfn.LET(
   _xlpm.symbolic_eligible, $Y$32,
   _xlpm.dsl_eligible, $Z$32,
   _xlpm.normal_eligible, $AA$32,
   _xlpm.symbolic_warning, $Y$36,
   _xlpm.dsl_warning, $Z$36,
   _xlpm.normal_warning, $AA$36,
   _xlpm.symbolic_w1, $P$34,
   _xlpm.symbolic_w2, $P$34,
   _xlpm.symbolic_mean, ($P$34*Z23 + $P$34*AJ23)/($P$34*2),
   _xlpm.dsl_w1, $P$34,
   _xlpm.dsl_w2, $P$34,
   _xlpm.dsl_mean, ($P$34*AA23 + $P$34*AK23)/($P$34*2),
   _xlpm.normal_w1, $P$34,
   _xlpm.normal_w2, $P$34,
   _xlpm.normal_mean, ($P$34*AB23 + $P$34*AL23)/($P$34*2),
   _xlpm.eligible_means, IF(_xlpm.symbolic_eligible, _xlpm.symbolic_mean, 999) &amp; "," &amp;
                    IF(_xlpm.dsl_eligible, _xlpm.dsl_mean, 999) &amp; "," &amp;
                    IF(_xlpm.normal_eligible, _xlpm.normal_mean, 999),
   _xlpm.fastest, MIN(IF(_xlpm.symbolic_eligible, _xlpm.symbolic_mean, 999),
                IF(_xlpm.dsl_eligible, _xlpm.dsl_mean, 999),
                IF(_xlpm.normal_eligible, _xlpm.normal_mean, 999)),
   _xlpm.tie_count, (IF(_xlpm.symbolic_eligible, IF(_xlpm.symbolic_mean=_xlpm.fastest,1,0),0)) +
              (IF(_xlpm.dsl_eligible, IF(_xlpm.dsl_mean=_xlpm.fastest,1,0),0)) +
              (IF(_xlpm.normal_eligible, IF(_xlpm.normal_mean=_xlpm.fastest,1,0),0)),
   _xlpm.value_text, IF(AND(_xlpm.symbolic_eligible, _xlpm.symbolic_mean=_xlpm.fastest), TEXT(_xlpm.symbolic_mean, "0.00"),
                 IF(AND(_xlpm.dsl_eligible, _xlpm.dsl_mean=_xlpm.fastest), TEXT(_xlpm.dsl_mean, "0.00"),
                 IF(AND(_xlpm.normal_eligible, _xlpm.normal_mean=_xlpm.fastest), TEXT(_xlpm.normal_mean, "0.00"), ""))),
   _xlpm.winner_text, IF(_xlpm.tie_count=0, "⚠️ No Eligible Formats",
                 IF(_xlpm.tie_count&gt;1, "🤝 Tie (" &amp; TEXT(_xlpm.fastest, "0.00") &amp; "s)",
                    IF(AND(_xlpm.symbolic_eligible, _xlpm.symbolic_mean=_xlpm.fastest),
                       "🏆 Symbolic" &amp; _xlpm.symbolic_warning &amp; " (" &amp; _xlpm.value_text &amp; "s)",
                       IF(AND(_xlpm.dsl_eligible, _xlpm.dsl_mean=_xlpm.fastest),
                          "🏆 DSL/JSON" &amp; _xlpm.dsl_warning &amp; " (" &amp; _xlpm.value_text &amp; "s)",
                          IF(AND(_xlpm.normal_eligible, _xlpm.normal_mean=_xlpm.fastest),
                             "🏆 Normal" &amp; _xlpm.normal_warning &amp; " (" &amp; _xlpm.value_text &amp; "s)",
                             "Error"))))),
   _xlpm.winner_text
)</f>
        <v>🏆 Normal⚠️ (0.06s)</v>
      </c>
      <c r="Y40" t="str">
        <f>IF(OR(Z21="🔴 SEVERE", Z21="🚨 CRITICAL", AJ21="🔴 SEVERE", AJ21="🚨 CRITICAL"),
    "❌ DISQUALIFIED", "✅ ELIGIBLE")</f>
        <v>✅ ELIGIBLE</v>
      </c>
      <c r="Z40" t="str">
        <f>IF(OR(AA21="🔴 SEVERE", AA21="🚨 CRITICAL", AK21="🔴 SEVERE", AK21="🚨 CRITICAL"),
    "❌ DISQUALIFIED", "✅ ELIGIBLE")</f>
        <v>✅ ELIGIBLE</v>
      </c>
      <c r="AA40" t="str">
        <f>IF(OR(AB21="🔴 SEVERE", AB21="🚨 CRITICAL", AL21="🔴 SEVERE", AL21="🚨 CRITICAL"),
    "❌ DISQUALIFIED", "✅ ELIGIBLE")</f>
        <v>✅ ELIGIBLE</v>
      </c>
      <c r="AE40" s="4"/>
      <c r="AF40" s="4"/>
      <c r="AG40" s="4"/>
      <c r="AI40" t="s">
        <v>692</v>
      </c>
      <c r="AJ40">
        <f>AJ39 - AJ37</f>
        <v>0</v>
      </c>
    </row>
    <row r="41" spans="1:36" x14ac:dyDescent="0.25">
      <c r="A41" t="s">
        <v>78</v>
      </c>
      <c r="B41">
        <v>10</v>
      </c>
      <c r="C41" t="s">
        <v>13</v>
      </c>
      <c r="D41" t="s">
        <v>409</v>
      </c>
      <c r="E41" t="s">
        <v>410</v>
      </c>
      <c r="F41" s="1">
        <v>1.6203703703703704E-5</v>
      </c>
      <c r="G41" t="s">
        <v>16</v>
      </c>
      <c r="H41">
        <v>4</v>
      </c>
      <c r="I41">
        <v>74</v>
      </c>
      <c r="J41">
        <v>78</v>
      </c>
      <c r="L41" t="s">
        <v>17</v>
      </c>
      <c r="M41" s="3">
        <f t="shared" si="0"/>
        <v>1.4380001462996006</v>
      </c>
      <c r="T41" t="s">
        <v>680</v>
      </c>
      <c r="U41" t="str">
        <f>_xlfn.LET(
   _xlpm.symbolic_mean, Z9,
   _xlpm.dsl_mean, AA9,
   _xlpm.normal_mean, AB9,
   _xlpm.symbolic_risk, Z21,
   _xlpm.dsl_risk, AA21,
   _xlpm.normal_risk, AB21,
   _xlpm.fastest_mean, MIN(_xlpm.symbolic_mean, _xlpm.dsl_mean, _xlpm.normal_mean),
   _xlpm.tie_count, (_xlpm.symbolic_mean=_xlpm.fastest_mean) + (_xlpm.dsl_mean=_xlpm.fastest_mean) + (_xlpm.normal_mean=_xlpm.fastest_mean),
   _xlpm.winner_text, IF(_xlpm.tie_count&gt;1, "🤝 Tie",
                 IF(_xlpm.symbolic_mean=_xlpm.fastest_mean,
                    "🏆 Symbolic" &amp; IF(_xlpm.symbolic_risk="🟡 MODERATE", "🟡",
                                      IF(_xlpm.symbolic_risk="🔴 SEVERE", "🔴",
                                      IF(_xlpm.symbolic_risk="🚨 CRITICAL", "🚨", ""))),
                    IF(_xlpm.dsl_mean=_xlpm.fastest_mean,
                       "🏆 DSL/JSON" &amp; IF(_xlpm.dsl_risk="🟡 MODERATE", "🟡",
                                         IF(_xlpm.dsl_risk="🔴 SEVERE", "🔴",
                                         IF(_xlpm.dsl_risk="🚨 CRITICAL", "🚨", ""))),
                       IF(_xlpm.normal_mean=_xlpm.fastest_mean,
                          "🏆 Normal" &amp; IF(_xlpm.normal_risk="🟡 MODERATE", "🟡",
                                          IF(_xlpm.normal_risk="🔴 SEVERE", "🔴",
                                          IF(_xlpm.normal_risk="🚨 CRITICAL", "🚨", ""))),
                          "Error")))),
   _xlpm.winner_text
)</f>
        <v>🏆 DSL/JSON</v>
      </c>
      <c r="V41" t="str">
        <f>_xlfn.LET(
   _xlpm.symbolic_mean, AJ9,
   _xlpm.dsl_mean, AK9,
   _xlpm.normal_mean, AL9,
   _xlpm.symbolic_risk, AJ21,
   _xlpm.dsl_risk, AK21,
   _xlpm.normal_risk, AL21,
   _xlpm.fastest_mean, MIN(_xlpm.symbolic_mean, _xlpm.dsl_mean, _xlpm.normal_mean),
   _xlpm.tie_count, (_xlpm.symbolic_mean=_xlpm.fastest_mean) + (_xlpm.dsl_mean=_xlpm.fastest_mean) + (_xlpm.normal_mean=_xlpm.fastest_mean),
   _xlpm.winner_text, IF(_xlpm.tie_count&gt;1, "🤝 Tie",
                 IF(_xlpm.symbolic_mean=_xlpm.fastest_mean,
                    "🏆 Symbolic" &amp; IF(_xlpm.symbolic_risk="🟡 MODERATE", "🟡",
                                      IF(_xlpm.symbolic_risk="🔴 SEVERE", "🔴",
                                      IF(_xlpm.symbolic_risk="🚨 CRITICAL", "🚨", ""))),
                    IF(_xlpm.dsl_mean=_xlpm.fastest_mean,
                       "🏆 DSL/JSON" &amp; IF(_xlpm.dsl_risk="🟡 MODERATE", "🟡",
                                         IF(_xlpm.dsl_risk="🔴 SEVERE", "🔴",
                                         IF(_xlpm.dsl_risk="🚨 CRITICAL", "🚨", ""))),
                       IF(_xlpm.normal_mean=_xlpm.fastest_mean,
                          "🏆 Normal" &amp; IF(_xlpm.normal_risk="🟡 MODERATE", "🟡",
                                          IF(_xlpm.normal_risk="🔴 SEVERE", "🔴",
                                          IF(_xlpm.normal_risk="🚨 CRITICAL", "🚨", ""))),
                          "Error")))),
   _xlpm.winner_text
)</f>
        <v>🏆 Normal</v>
      </c>
      <c r="W41" t="str">
        <f>_xlfn.LET(
   _xlpm.symbolic_eligible, $Y$32,
   _xlpm.dsl_eligible, $Z$32,
   _xlpm.normal_eligible, $AA$32,
   _xlpm.symbolic_warning, $Y$36,
   _xlpm.dsl_warning, $Z$36,
   _xlpm.normal_warning, $AA$36,
   _xlpm.eligible_count, _xlpm.symbolic_eligible + _xlpm.dsl_eligible + _xlpm.normal_eligible,
   _xlpm.symbolic_mean, ($P$34*Z9 + $P$34*AJ9)/($P$34*2),
   _xlpm.dsl_mean, ($P$34*AA9 + $P$34*AK9)/($P$34*2),
   _xlpm.normal_mean, ($P$34*AB9 + $P$34*AL9)/($P$34*2),
   _xlpm.fastest, MIN(IF(_xlpm.symbolic_eligible, _xlpm.symbolic_mean, 9999),
                IF(_xlpm.dsl_eligible, _xlpm.dsl_mean, 9999),
                IF(_xlpm.normal_eligible, _xlpm.normal_mean, 9999)),
   IF(_xlpm.eligible_count=0, "⚠️ No Eligible Formats",
      IF(_xlpm.eligible_count=1,
         IF(_xlpm.symbolic_eligible, "🏆 Symbolic" &amp; _xlpm.symbolic_warning,
            IF(_xlpm.dsl_eligible, "🏆 DSL/JSON" &amp; _xlpm.dsl_warning,
               "🏆 Normal" &amp; _xlpm.normal_warning)),
         IF(AND(_xlpm.symbolic_eligible, _xlpm.symbolic_mean=_xlpm.fastest), "🏆 Symbolic" &amp; _xlpm.symbolic_warning,
            IF(AND(_xlpm.dsl_eligible, _xlpm.dsl_mean=_xlpm.fastest), "🏆 DSL/JSON" &amp; _xlpm.dsl_warning,
               "🏆 Normal" &amp; _xlpm.normal_warning)))
   )
)</f>
        <v>🏆 Normal⚠️</v>
      </c>
      <c r="Z41" s="7"/>
      <c r="AE41" s="4"/>
      <c r="AF41" s="4"/>
      <c r="AG41" s="4"/>
      <c r="AI41" t="s">
        <v>693</v>
      </c>
      <c r="AJ41" t="str">
        <f>_xlfn.LET(
   _xlpm.means, Z9:AB9,
   _xlpm.min_mean, MIN(_xlpm.means),
   _xlpm.tie_count, (Z9=_xlpm.min_mean)+(AA9=_xlpm.min_mean)+(AB9=_xlpm.min_mean),
   _xlpm.winner, IF(Z9=_xlpm.min_mean, "Symbolic", IF(AA9=_xlpm.min_mean, "DSL/JSON", "Normal")),
   _xlpm.risk, IF(Z9=_xlpm.min_mean, Z24, IF(AA9=_xlpm.min_mean, AA24, AB24)),
   IF(_xlpm.tie_count&gt;1, "🤝 Tie", _xlpm.winner)
)</f>
        <v>DSL/JSON</v>
      </c>
    </row>
    <row r="42" spans="1:36" x14ac:dyDescent="0.25">
      <c r="A42" t="s">
        <v>78</v>
      </c>
      <c r="B42">
        <v>1</v>
      </c>
      <c r="C42" t="s">
        <v>36</v>
      </c>
      <c r="D42" t="s">
        <v>411</v>
      </c>
      <c r="E42" t="s">
        <v>412</v>
      </c>
      <c r="F42" s="1">
        <v>1.8518518518518518E-5</v>
      </c>
      <c r="G42" t="s">
        <v>16</v>
      </c>
      <c r="H42">
        <v>4</v>
      </c>
      <c r="I42">
        <v>150</v>
      </c>
      <c r="J42">
        <v>154</v>
      </c>
      <c r="L42" t="s">
        <v>17</v>
      </c>
      <c r="M42" s="3">
        <f t="shared" si="0"/>
        <v>1.6130004543811083</v>
      </c>
      <c r="Y42" s="24" t="s">
        <v>705</v>
      </c>
      <c r="Z42" s="24"/>
      <c r="AA42" s="24"/>
      <c r="AC42" s="24" t="s">
        <v>706</v>
      </c>
      <c r="AD42" s="24"/>
      <c r="AE42" s="24"/>
      <c r="AI42" t="s">
        <v>694</v>
      </c>
      <c r="AJ42" t="str">
        <f>_xlfn.LET(
   _xlpm.means, AJ9:AL9,
   _xlpm.min_mean, MIN(_xlpm.means),
   _xlpm.tie_count, (AJ9=_xlpm.min_mean)+(AK9=_xlpm.min_mean)+(AL9=_xlpm.min_mean),
   _xlpm.winner, IF(AJ9=_xlpm.min_mean, "Symbolic", IF(AK9=_xlpm.min_mean, "DSL/JSON", "Normal")),
   _xlpm.risk, IF(AJ9=_xlpm.min_mean, AJ24, IF(AK9=_xlpm.min_mean, AK24, AL24)),
   IF(_xlpm.tie_count&gt;1, "🤝 Tie", _xlpm.winner)
)</f>
        <v>Normal</v>
      </c>
    </row>
    <row r="43" spans="1:36" x14ac:dyDescent="0.25">
      <c r="A43" t="s">
        <v>78</v>
      </c>
      <c r="B43">
        <v>2</v>
      </c>
      <c r="C43" t="s">
        <v>36</v>
      </c>
      <c r="D43" t="s">
        <v>413</v>
      </c>
      <c r="E43" t="s">
        <v>414</v>
      </c>
      <c r="F43" s="1">
        <v>1.6203703703703704E-5</v>
      </c>
      <c r="G43" t="s">
        <v>16</v>
      </c>
      <c r="H43">
        <v>4</v>
      </c>
      <c r="I43">
        <v>150</v>
      </c>
      <c r="J43">
        <v>154</v>
      </c>
      <c r="L43" t="s">
        <v>17</v>
      </c>
      <c r="M43" s="3">
        <f t="shared" si="0"/>
        <v>1.3970000669360161</v>
      </c>
      <c r="Y43" s="21" t="s">
        <v>668</v>
      </c>
      <c r="Z43" s="21" t="s">
        <v>669</v>
      </c>
      <c r="AA43" s="21" t="s">
        <v>670</v>
      </c>
      <c r="AC43" s="21" t="s">
        <v>668</v>
      </c>
      <c r="AD43" s="21" t="s">
        <v>669</v>
      </c>
      <c r="AE43" s="21" t="s">
        <v>670</v>
      </c>
      <c r="AI43" t="s">
        <v>695</v>
      </c>
      <c r="AJ43" t="b">
        <f>AND(Y32=TRUE, Y40="✅ ELIGIBLE")</f>
        <v>1</v>
      </c>
    </row>
    <row r="44" spans="1:36" x14ac:dyDescent="0.25">
      <c r="A44" t="s">
        <v>78</v>
      </c>
      <c r="B44">
        <v>3</v>
      </c>
      <c r="C44" t="s">
        <v>36</v>
      </c>
      <c r="D44" t="s">
        <v>415</v>
      </c>
      <c r="E44" t="s">
        <v>416</v>
      </c>
      <c r="F44" s="1">
        <v>1.9675925925925925E-5</v>
      </c>
      <c r="G44" t="s">
        <v>16</v>
      </c>
      <c r="H44">
        <v>4</v>
      </c>
      <c r="I44">
        <v>150</v>
      </c>
      <c r="J44">
        <v>154</v>
      </c>
      <c r="L44" t="s">
        <v>17</v>
      </c>
      <c r="M44" s="3">
        <f t="shared" si="0"/>
        <v>1.7159997951239347</v>
      </c>
      <c r="Y44">
        <f>ROUND(($P$34*Z9+AJ9*$P$34)/($P$34*2),2)</f>
        <v>1.21</v>
      </c>
      <c r="Z44">
        <f t="shared" ref="Z44:AA44" si="27">ROUND(($P$34*AA9+AK9*$P$34)/($P$34*2),2)</f>
        <v>1.2</v>
      </c>
      <c r="AA44">
        <f t="shared" si="27"/>
        <v>1.1299999999999999</v>
      </c>
      <c r="AC44" t="str">
        <f>_xlfn.LET(
    _xlpm.score, ROUND(1 - (ABS(Z9 - AJ9) / ((Z9 + AJ9) / 2)),2),
    _xlpm.clipped, MAX(0, MIN(1, _xlpm.score)),
    _xlpm.rating, IF(_xlpm.clipped &gt;= 0.95, "⭐",
              IF(_xlpm.clipped &gt;= 0.85, "✅",
                IF(_xlpm.clipped &gt;= 0.7, "⚠️", "❌"))),
    _xlpm.clipped &amp; " (" &amp; _xlpm.rating &amp; ")"
)</f>
        <v>0.97 (⭐)</v>
      </c>
      <c r="AD44" t="str">
        <f>_xlfn.LET(
    _xlpm.score, ROUND(1 - (ABS(AA9 - AK9) / ((AA9 + AK9) / 2)),2),
    _xlpm.clipped, MAX(0, MIN(1, _xlpm.score)),
    _xlpm.rating, IF(_xlpm.clipped &gt;= 0.95, "⭐",
              IF(_xlpm.clipped &gt;= 0.85, "✅",
                IF(_xlpm.clipped &gt;= 0.7, "⚠️", "❌"))),
    _xlpm.clipped &amp; " (" &amp; _xlpm.rating &amp; ")"
)</f>
        <v>0.86 (✅)</v>
      </c>
      <c r="AE44" t="str">
        <f>_xlfn.LET(
    _xlpm.score, ROUND(1 - (ABS(AB9 - AL9) / ((AB9 + AL9) / 2)),2),
    _xlpm.clipped, MAX(0, MIN(1, _xlpm.score)),
    _xlpm.rating, IF(_xlpm.clipped &gt;= 0.95, "⭐",
              IF(_xlpm.clipped &gt;= 0.85, "✅",
                IF(_xlpm.clipped &gt;= 0.7, "⚠️", "❌"))),
    _xlpm.clipped &amp; " (" &amp; _xlpm.rating &amp; ")"
)</f>
        <v>1 (⭐)</v>
      </c>
      <c r="AI44" t="s">
        <v>696</v>
      </c>
      <c r="AJ44" t="b">
        <f>AND(Z32=TRUE, Z40="✅ ELIGIBLE")</f>
        <v>1</v>
      </c>
    </row>
    <row r="45" spans="1:36" x14ac:dyDescent="0.25">
      <c r="A45" t="s">
        <v>78</v>
      </c>
      <c r="B45">
        <v>4</v>
      </c>
      <c r="C45" t="s">
        <v>36</v>
      </c>
      <c r="D45" t="s">
        <v>417</v>
      </c>
      <c r="E45" t="s">
        <v>418</v>
      </c>
      <c r="F45" s="1">
        <v>1.8518518518518518E-5</v>
      </c>
      <c r="G45" t="s">
        <v>16</v>
      </c>
      <c r="H45">
        <v>4</v>
      </c>
      <c r="I45">
        <v>150</v>
      </c>
      <c r="J45">
        <v>154</v>
      </c>
      <c r="L45" t="s">
        <v>17</v>
      </c>
      <c r="M45" s="3">
        <f t="shared" si="0"/>
        <v>1.6320005524903536</v>
      </c>
      <c r="AI45" t="s">
        <v>697</v>
      </c>
      <c r="AJ45" t="b">
        <f>AND(AA32=TRUE, AA40="✅ ELIGIBLE")</f>
        <v>1</v>
      </c>
    </row>
    <row r="46" spans="1:36" x14ac:dyDescent="0.25">
      <c r="A46" t="s">
        <v>78</v>
      </c>
      <c r="B46">
        <v>5</v>
      </c>
      <c r="C46" t="s">
        <v>36</v>
      </c>
      <c r="D46" t="s">
        <v>419</v>
      </c>
      <c r="E46" t="s">
        <v>420</v>
      </c>
      <c r="F46" s="1">
        <v>1.7361111111111111E-5</v>
      </c>
      <c r="G46" t="s">
        <v>16</v>
      </c>
      <c r="H46">
        <v>4</v>
      </c>
      <c r="I46">
        <v>150</v>
      </c>
      <c r="J46">
        <v>154</v>
      </c>
      <c r="L46" t="s">
        <v>17</v>
      </c>
      <c r="M46" s="3">
        <f t="shared" si="0"/>
        <v>1.4799997676163912</v>
      </c>
      <c r="AI46" t="s">
        <v>698</v>
      </c>
      <c r="AJ46" t="str">
        <f>IF(AND(AJ43=TRUE, OR(Z21="🟡 MODERATE", AJ21="🟡 MODERATE")), "⚠️", "")</f>
        <v/>
      </c>
    </row>
    <row r="47" spans="1:36" x14ac:dyDescent="0.25">
      <c r="A47" t="s">
        <v>78</v>
      </c>
      <c r="B47">
        <v>6</v>
      </c>
      <c r="C47" t="s">
        <v>36</v>
      </c>
      <c r="D47" t="s">
        <v>421</v>
      </c>
      <c r="E47" t="s">
        <v>422</v>
      </c>
      <c r="F47" s="1">
        <v>1.8518518518518518E-5</v>
      </c>
      <c r="G47" t="s">
        <v>16</v>
      </c>
      <c r="H47">
        <v>4</v>
      </c>
      <c r="I47">
        <v>150</v>
      </c>
      <c r="J47">
        <v>154</v>
      </c>
      <c r="L47" t="s">
        <v>17</v>
      </c>
      <c r="M47" s="3">
        <f t="shared" si="0"/>
        <v>1.5630000969395041</v>
      </c>
      <c r="AI47" t="s">
        <v>699</v>
      </c>
      <c r="AJ47" t="str">
        <f>IF(AND(AJ44=TRUE, OR(AA21="🟡 MODERATE", AK21="🟡 MODERATE")), "⚠️", "")</f>
        <v/>
      </c>
    </row>
    <row r="48" spans="1:36" x14ac:dyDescent="0.25">
      <c r="A48" t="s">
        <v>78</v>
      </c>
      <c r="B48">
        <v>7</v>
      </c>
      <c r="C48" t="s">
        <v>36</v>
      </c>
      <c r="D48" t="s">
        <v>423</v>
      </c>
      <c r="E48" t="s">
        <v>424</v>
      </c>
      <c r="F48" s="1">
        <v>1.5046296296296297E-5</v>
      </c>
      <c r="G48" t="s">
        <v>16</v>
      </c>
      <c r="H48">
        <v>4</v>
      </c>
      <c r="I48">
        <v>150</v>
      </c>
      <c r="J48">
        <v>154</v>
      </c>
      <c r="L48" t="s">
        <v>17</v>
      </c>
      <c r="M48" s="3">
        <f t="shared" si="0"/>
        <v>1.3340000063180923</v>
      </c>
      <c r="AI48" t="s">
        <v>700</v>
      </c>
      <c r="AJ48" t="str">
        <f>IF(AND(AJ45=TRUE, OR(AB21="🟡 MODERATE", AL21="🟡 MODERATE")), "⚠️", "")</f>
        <v>⚠️</v>
      </c>
    </row>
    <row r="49" spans="1:36" x14ac:dyDescent="0.25">
      <c r="A49" t="s">
        <v>78</v>
      </c>
      <c r="B49">
        <v>8</v>
      </c>
      <c r="C49" t="s">
        <v>36</v>
      </c>
      <c r="D49" t="s">
        <v>425</v>
      </c>
      <c r="E49" t="s">
        <v>426</v>
      </c>
      <c r="F49" s="1">
        <v>1.5046296296296297E-5</v>
      </c>
      <c r="G49" t="s">
        <v>16</v>
      </c>
      <c r="H49">
        <v>4</v>
      </c>
      <c r="I49">
        <v>150</v>
      </c>
      <c r="J49">
        <v>154</v>
      </c>
      <c r="L49" t="s">
        <v>17</v>
      </c>
      <c r="M49" s="3">
        <f t="shared" si="0"/>
        <v>1.3280002400279045</v>
      </c>
      <c r="AI49" t="s">
        <v>701</v>
      </c>
      <c r="AJ49" t="b" cm="1">
        <f t="array" ref="AJ49">AND(OR(AND(Z21="🔴 SEVERE", AJ21="🟡 MODERATE"),
        AND(Z21="🟡 MODERATE", AJ21="🔴 SEVERE")),
     Y44 = MIN(IF(Y40:AA40="✅ ELIGIBLE", Y44:AA44, 9999)))</f>
        <v>0</v>
      </c>
    </row>
    <row r="50" spans="1:36" x14ac:dyDescent="0.25">
      <c r="A50" t="s">
        <v>78</v>
      </c>
      <c r="B50">
        <v>9</v>
      </c>
      <c r="C50" t="s">
        <v>36</v>
      </c>
      <c r="D50" t="s">
        <v>427</v>
      </c>
      <c r="E50" t="s">
        <v>428</v>
      </c>
      <c r="F50" s="1">
        <v>1.3888888888888888E-5</v>
      </c>
      <c r="G50" t="s">
        <v>16</v>
      </c>
      <c r="H50">
        <v>4</v>
      </c>
      <c r="I50">
        <v>150</v>
      </c>
      <c r="J50">
        <v>154</v>
      </c>
      <c r="L50" t="s">
        <v>17</v>
      </c>
      <c r="M50" s="3">
        <f t="shared" si="0"/>
        <v>1.2379999738186598</v>
      </c>
      <c r="AI50" t="s">
        <v>702</v>
      </c>
      <c r="AJ50" t="b" cm="1">
        <f t="array" ref="AJ50">AND(OR(AND(AA21="🔴 SEVERE", AK21="🟡 MODERATE"),
        AND(AA21="🟡 MODERATE", AK21="🔴 SEVERE")),
     Z44 = MIN(IF(Y40:AA40="✅ ELIGIBLE", Y44:AA44, 9999)))</f>
        <v>0</v>
      </c>
    </row>
    <row r="51" spans="1:36" x14ac:dyDescent="0.25">
      <c r="A51" t="s">
        <v>78</v>
      </c>
      <c r="B51">
        <v>10</v>
      </c>
      <c r="C51" t="s">
        <v>36</v>
      </c>
      <c r="D51" t="s">
        <v>429</v>
      </c>
      <c r="E51" t="s">
        <v>430</v>
      </c>
      <c r="F51" s="1">
        <v>1.5046296296296297E-5</v>
      </c>
      <c r="G51" t="s">
        <v>16</v>
      </c>
      <c r="H51">
        <v>4</v>
      </c>
      <c r="I51">
        <v>150</v>
      </c>
      <c r="J51">
        <v>154</v>
      </c>
      <c r="L51" t="s">
        <v>17</v>
      </c>
      <c r="M51" s="3">
        <f t="shared" si="0"/>
        <v>1.2589997844770551</v>
      </c>
      <c r="AI51" t="s">
        <v>703</v>
      </c>
      <c r="AJ51" t="b" cm="1">
        <f t="array" ref="AJ51">AND(OR(AND(AB21="🔴 SEVERE", AL21="🟡 MODERATE"),
        AND(AB21="🟡 MODERATE", AL21="🔴 SEVERE")),
     AA44 = MIN(IF(Y40:AA40="✅ ELIGIBLE", Y44:AA44, 9999)))</f>
        <v>0</v>
      </c>
    </row>
    <row r="52" spans="1:36" x14ac:dyDescent="0.25">
      <c r="A52" t="s">
        <v>78</v>
      </c>
      <c r="B52">
        <v>1</v>
      </c>
      <c r="C52" t="s">
        <v>57</v>
      </c>
      <c r="D52" t="s">
        <v>431</v>
      </c>
      <c r="E52" t="s">
        <v>432</v>
      </c>
      <c r="F52" s="1">
        <v>2.199074074074074E-5</v>
      </c>
      <c r="G52" t="s">
        <v>16</v>
      </c>
      <c r="H52">
        <v>4</v>
      </c>
      <c r="I52">
        <v>104</v>
      </c>
      <c r="J52">
        <v>108</v>
      </c>
      <c r="L52" t="s">
        <v>17</v>
      </c>
      <c r="M52" s="3">
        <f t="shared" si="0"/>
        <v>1.8549996195361018</v>
      </c>
    </row>
    <row r="53" spans="1:36" x14ac:dyDescent="0.25">
      <c r="A53" t="s">
        <v>78</v>
      </c>
      <c r="B53">
        <v>2</v>
      </c>
      <c r="C53" t="s">
        <v>57</v>
      </c>
      <c r="D53" t="s">
        <v>433</v>
      </c>
      <c r="E53" t="s">
        <v>434</v>
      </c>
      <c r="F53" s="1">
        <v>1.9675925925925925E-5</v>
      </c>
      <c r="G53" t="s">
        <v>16</v>
      </c>
      <c r="H53">
        <v>4</v>
      </c>
      <c r="I53">
        <v>104</v>
      </c>
      <c r="J53">
        <v>108</v>
      </c>
      <c r="L53" t="s">
        <v>17</v>
      </c>
      <c r="M53" s="3">
        <f t="shared" si="0"/>
        <v>1.6999995801597834</v>
      </c>
      <c r="AI53" t="s">
        <v>707</v>
      </c>
      <c r="AJ53">
        <f>_xlfn.LET(
    _xlpm.sym_eligible, Y32,
    _xlpm.dsl_eligible, Z32,
    _xlpm.norm_eligible, AA32,
    (_xlpm.sym_eligible*1) + (_xlpm.dsl_eligible*1) + (_xlpm.norm_eligible*1)
)</f>
        <v>3</v>
      </c>
    </row>
    <row r="54" spans="1:36" x14ac:dyDescent="0.25">
      <c r="A54" t="s">
        <v>78</v>
      </c>
      <c r="B54">
        <v>3</v>
      </c>
      <c r="C54" t="s">
        <v>57</v>
      </c>
      <c r="D54" t="s">
        <v>435</v>
      </c>
      <c r="E54" t="s">
        <v>436</v>
      </c>
      <c r="F54" s="1">
        <v>1.2731481481481482E-5</v>
      </c>
      <c r="G54" t="s">
        <v>16</v>
      </c>
      <c r="H54">
        <v>4</v>
      </c>
      <c r="I54">
        <v>104</v>
      </c>
      <c r="J54">
        <v>108</v>
      </c>
      <c r="L54" t="s">
        <v>17</v>
      </c>
      <c r="M54" s="3">
        <f t="shared" si="0"/>
        <v>1.1189997894689441</v>
      </c>
      <c r="AI54" t="s">
        <v>708</v>
      </c>
      <c r="AJ54">
        <f>_xlfn.LET(
    _xlpm.sym_mean, Y44, _xlpm.sym_eligible, Y32,
    _xlpm.dsl_mean, Z44, _xlpm.dsl_eligible, Z32,
    _xlpm.norm_mean, AA44, _xlpm.norm_eligible, AA32,
    MIN(IF(_xlpm.sym_eligible, _xlpm.sym_mean, 9999), IF(_xlpm.dsl_eligible, _xlpm.dsl_mean, 9999), IF(_xlpm.norm_eligible, _xlpm.norm_mean, 9999))
)</f>
        <v>1.1299999999999999</v>
      </c>
    </row>
    <row r="55" spans="1:36" x14ac:dyDescent="0.25">
      <c r="A55" t="s">
        <v>78</v>
      </c>
      <c r="B55">
        <v>4</v>
      </c>
      <c r="C55" t="s">
        <v>57</v>
      </c>
      <c r="D55" t="s">
        <v>437</v>
      </c>
      <c r="E55" t="s">
        <v>438</v>
      </c>
      <c r="F55" s="1">
        <v>1.5046296296296297E-5</v>
      </c>
      <c r="G55" t="s">
        <v>16</v>
      </c>
      <c r="H55">
        <v>4</v>
      </c>
      <c r="I55">
        <v>104</v>
      </c>
      <c r="J55">
        <v>108</v>
      </c>
      <c r="L55" t="s">
        <v>17</v>
      </c>
      <c r="M55" s="3">
        <f t="shared" si="0"/>
        <v>1.2669998919591308</v>
      </c>
      <c r="AI55" t="s">
        <v>690</v>
      </c>
      <c r="AJ55">
        <f>ROUND(AI34 * 0.05, 2)</f>
        <v>0</v>
      </c>
    </row>
    <row r="56" spans="1:36" x14ac:dyDescent="0.25">
      <c r="A56" t="s">
        <v>78</v>
      </c>
      <c r="B56">
        <v>5</v>
      </c>
      <c r="C56" t="s">
        <v>57</v>
      </c>
      <c r="D56" t="s">
        <v>439</v>
      </c>
      <c r="E56" t="s">
        <v>440</v>
      </c>
      <c r="F56" s="1">
        <v>1.7361111111111111E-5</v>
      </c>
      <c r="G56" t="s">
        <v>16</v>
      </c>
      <c r="H56">
        <v>4</v>
      </c>
      <c r="I56">
        <v>104</v>
      </c>
      <c r="J56">
        <v>108</v>
      </c>
      <c r="L56" t="s">
        <v>17</v>
      </c>
      <c r="M56" s="3">
        <f t="shared" si="0"/>
        <v>1.4610002981498837</v>
      </c>
      <c r="AI56" t="s">
        <v>709</v>
      </c>
      <c r="AJ56" t="str">
        <f>_xlfn.LET(
    _xlpm.sym_eligible, Y32, _xlpm.sym_risk_m3, Z21,
    _xlpm.dsl_eligible, Z32, _xlpm.dsl_risk_m3, AA21,
    _xlpm.norm_eligible, AA32, _xlpm.norm_risk_m3, AB21,
    IF(NOT(_xlpm.sym_eligible), "❌ Symbolic disqualified (" &amp; _xlpm.sym_risk_m3 &amp; " on Mar 3)&lt;br&gt;", "") &amp;
    IF(NOT(_xlpm.dsl_eligible), "❌ DSL/JSON disqualified (" &amp; _xlpm.dsl_risk_m3 &amp; " on Mar 3)&lt;br&gt;", "") &amp;
    IF(NOT(_xlpm.norm_eligible), "❌ Normal disqualified (" &amp; _xlpm.norm_risk_m3 &amp; " on Mar 3)&lt;br&gt;", "")
)</f>
        <v/>
      </c>
    </row>
    <row r="57" spans="1:36" x14ac:dyDescent="0.25">
      <c r="A57" t="s">
        <v>78</v>
      </c>
      <c r="B57">
        <v>6</v>
      </c>
      <c r="C57" t="s">
        <v>57</v>
      </c>
      <c r="D57" t="s">
        <v>441</v>
      </c>
      <c r="E57" t="s">
        <v>442</v>
      </c>
      <c r="F57" s="1">
        <v>1.6203703703703704E-5</v>
      </c>
      <c r="G57" t="s">
        <v>16</v>
      </c>
      <c r="H57">
        <v>4</v>
      </c>
      <c r="I57">
        <v>104</v>
      </c>
      <c r="J57">
        <v>108</v>
      </c>
      <c r="L57" t="s">
        <v>17</v>
      </c>
      <c r="M57" s="3">
        <f t="shared" si="0"/>
        <v>1.3619997538626194</v>
      </c>
      <c r="AI57" t="s">
        <v>710</v>
      </c>
      <c r="AJ57" t="str">
        <f>_xlfn.LET(
    _xlpm.sym_mean, Y44, _xlpm.sym_stability, AC44, _xlpm.sym_risk_m3, Z21, _xlpm.sym_risk_m5, AJ21,
    _xlpm.dsl_mean, Z44, _xlpm.dsl_stability, AD44, _xlpm.dsl_risk_m3, AA21, _xlpm.dsl_risk_m5, AK21,
    _xlpm.norm_mean, AA44, _xlpm.norm_stability, AE44, _xlpm.norm_risk_m3, AB21, _xlpm.norm_risk_m5, AL21,
    _xlpm.threshold, AJ55, _xlpm.notes, AJ56,
    _xlpm.min_mean, MIN(_xlpm.sym_mean, _xlpm.dsl_mean, _xlpm.norm_mean),
    _xlpm.tie_count, (_xlpm.sym_mean=_xlpm.min_mean)+(_xlpm.dsl_mean=_xlpm.min_mean)+(_xlpm.norm_mean=_xlpm.min_mean),
    _xlpm.all_tied, AND(ABS(_xlpm.sym_mean-_xlpm.dsl_mean)&lt;_xlpm.threshold, ABS(_xlpm.sym_mean-_xlpm.norm_mean)&lt;_xlpm.threshold, ABS(_xlpm.dsl_mean-_xlpm.norm_mean)&lt;_xlpm.threshold),
    IF(_xlpm.tie_count&gt;1,
        IF(_xlpm.all_tied,
            IF(AND(_xlpm.sym_stability&gt;=_xlpm.dsl_stability, _xlpm.sym_stability&gt;=_xlpm.norm_stability),
                "🏆 Symbolic" &amp; IF(OR(_xlpm.sym_risk_m3="🟡 MODERATE", _xlpm.sym_risk_m5="🟡 MODERATE"), "⚠️", "") &amp; " Conditional Winner (" &amp; TEXT(_xlpm.sym_mean,"0.00") &amp; "s)&lt;br&gt;&lt;sup&gt;⚖️ Three-way statistical tie | Symbolic wins on stability&lt;br&gt;" &amp; _xlpm.notes &amp; "&lt;/sup&gt;",
            IF(AND(_xlpm.dsl_stability&gt;=_xlpm.sym_stability, _xlpm.dsl_stability&gt;=_xlpm.norm_stability),
                "🏆 DSL/JSON" &amp; IF(OR(_xlpm.dsl_risk_m3="🟡 MODERATE", _xlpm.dsl_risk_m5="🟡 MODERATE"), "⚠️", "") &amp; " Conditional Winner (" &amp; TEXT(_xlpm.dsl_mean,"0.00") &amp; "s)&lt;br&gt;&lt;sup&gt;⚖️ Three-way statistical tie | DSL/JSON wins on stability&lt;br&gt;" &amp; _xlpm.notes &amp; "&lt;/sup&gt;",
                "🏆 Normal" &amp; IF(OR(_xlpm.norm_risk_m3="🟡 MODERATE", _xlpm.norm_risk_m5="🟡 MODERATE"), "⚠️", "") &amp; " Conditional Winner (" &amp; TEXT(_xlpm.norm_mean,"0.00") &amp; "s)&lt;br&gt;&lt;sup&gt;⚖️ Three-way statistical tie | Normal wins on stability&lt;br&gt;" &amp; _xlpm.notes &amp; "&lt;/sup&gt;")),
            "🏆 Need complex tie resolution"),
        IF(_xlpm.sym_mean=_xlpm.min_mean,
            "🏆 Symbolic" &amp; IF(OR(_xlpm.sym_risk_m3="🟡 MODERATE", _xlpm.sym_risk_m5="🟡 MODERATE"), "⚠️", "") &amp; " (" &amp; TEXT(_xlpm.sym_mean,"0.00") &amp; "s)&lt;br&gt;&lt;sup&gt;" &amp; _xlpm.notes &amp; "&lt;/sup&gt;",
        IF(_xlpm.dsl_mean=_xlpm.min_mean,
            "🏆 DSL/JSON" &amp; IF(OR(_xlpm.dsl_risk_m3="🟡 MODERATE", _xlpm.dsl_risk_m5="🟡 MODERATE"), "⚠️", "") &amp; " (" &amp; TEXT(_xlpm.dsl_mean,"0.00") &amp; "s)&lt;br&gt;&lt;sup&gt;" &amp; _xlpm.notes &amp; "&lt;/sup&gt;",
            "🏆 Normal" &amp; IF(OR(_xlpm.norm_risk_m3="🟡 MODERATE", _xlpm.norm_risk_m5="🟡 MODERATE"), "⚠️", "") &amp; " (" &amp; TEXT(_xlpm.norm_mean,"0.00") &amp; "s)&lt;br&gt;&lt;sup&gt;" &amp; _xlpm.notes &amp; "&lt;/sup&gt;")))
)</f>
        <v>🏆 Normal⚠️ (1.13s)&lt;br&gt;&lt;sup&gt;&lt;/sup&gt;</v>
      </c>
    </row>
    <row r="58" spans="1:36" x14ac:dyDescent="0.25">
      <c r="A58" t="s">
        <v>78</v>
      </c>
      <c r="B58">
        <v>7</v>
      </c>
      <c r="C58" t="s">
        <v>57</v>
      </c>
      <c r="D58" t="s">
        <v>443</v>
      </c>
      <c r="E58" t="s">
        <v>444</v>
      </c>
      <c r="F58" s="1">
        <v>1.5046296296296297E-5</v>
      </c>
      <c r="G58" t="s">
        <v>16</v>
      </c>
      <c r="H58">
        <v>4</v>
      </c>
      <c r="I58">
        <v>104</v>
      </c>
      <c r="J58">
        <v>108</v>
      </c>
      <c r="L58" t="s">
        <v>17</v>
      </c>
      <c r="M58" s="3">
        <f t="shared" si="0"/>
        <v>1.2990003218874335</v>
      </c>
    </row>
    <row r="59" spans="1:36" x14ac:dyDescent="0.25">
      <c r="A59" t="s">
        <v>78</v>
      </c>
      <c r="B59">
        <v>8</v>
      </c>
      <c r="C59" t="s">
        <v>57</v>
      </c>
      <c r="D59" t="s">
        <v>445</v>
      </c>
      <c r="E59" t="s">
        <v>446</v>
      </c>
      <c r="F59" s="1">
        <v>1.6203703703703704E-5</v>
      </c>
      <c r="G59" t="s">
        <v>16</v>
      </c>
      <c r="H59">
        <v>4</v>
      </c>
      <c r="I59">
        <v>104</v>
      </c>
      <c r="J59">
        <v>108</v>
      </c>
      <c r="L59" t="s">
        <v>17</v>
      </c>
      <c r="M59" s="3">
        <f t="shared" si="0"/>
        <v>1.3790001394227147</v>
      </c>
    </row>
    <row r="60" spans="1:36" x14ac:dyDescent="0.25">
      <c r="A60" t="s">
        <v>78</v>
      </c>
      <c r="B60">
        <v>9</v>
      </c>
      <c r="C60" t="s">
        <v>57</v>
      </c>
      <c r="D60" t="s">
        <v>447</v>
      </c>
      <c r="E60" t="s">
        <v>448</v>
      </c>
      <c r="F60" s="1">
        <v>1.6203703703703704E-5</v>
      </c>
      <c r="G60" t="s">
        <v>16</v>
      </c>
      <c r="H60">
        <v>4</v>
      </c>
      <c r="I60">
        <v>104</v>
      </c>
      <c r="J60">
        <v>108</v>
      </c>
      <c r="L60" t="s">
        <v>17</v>
      </c>
      <c r="M60" s="3">
        <f t="shared" si="0"/>
        <v>1.4129996532574296</v>
      </c>
    </row>
    <row r="61" spans="1:36" x14ac:dyDescent="0.25">
      <c r="A61" t="s">
        <v>78</v>
      </c>
      <c r="B61">
        <v>10</v>
      </c>
      <c r="C61" t="s">
        <v>57</v>
      </c>
      <c r="D61" t="s">
        <v>449</v>
      </c>
      <c r="E61" t="s">
        <v>450</v>
      </c>
      <c r="F61" s="1">
        <v>1.3888888888888888E-5</v>
      </c>
      <c r="G61" t="s">
        <v>16</v>
      </c>
      <c r="H61">
        <v>4</v>
      </c>
      <c r="I61">
        <v>104</v>
      </c>
      <c r="J61">
        <v>108</v>
      </c>
      <c r="L61" t="s">
        <v>17</v>
      </c>
      <c r="M61" s="3">
        <f t="shared" si="0"/>
        <v>1.2119999388232827</v>
      </c>
    </row>
    <row r="62" spans="1:36" x14ac:dyDescent="0.25">
      <c r="A62" t="s">
        <v>139</v>
      </c>
      <c r="B62">
        <v>1</v>
      </c>
      <c r="C62" t="s">
        <v>13</v>
      </c>
      <c r="D62" t="s">
        <v>451</v>
      </c>
      <c r="E62" t="s">
        <v>452</v>
      </c>
      <c r="F62" s="1">
        <v>1.5046296296296297E-5</v>
      </c>
      <c r="G62" t="s">
        <v>16</v>
      </c>
      <c r="H62">
        <v>2</v>
      </c>
      <c r="I62">
        <v>67</v>
      </c>
      <c r="J62">
        <v>69</v>
      </c>
      <c r="L62" t="s">
        <v>17</v>
      </c>
      <c r="M62" s="3">
        <f t="shared" si="0"/>
        <v>1.3000004924833775</v>
      </c>
    </row>
    <row r="63" spans="1:36" x14ac:dyDescent="0.25">
      <c r="A63" t="s">
        <v>139</v>
      </c>
      <c r="B63">
        <v>2</v>
      </c>
      <c r="C63" t="s">
        <v>13</v>
      </c>
      <c r="D63" t="s">
        <v>453</v>
      </c>
      <c r="E63" t="s">
        <v>454</v>
      </c>
      <c r="F63" s="1">
        <v>1.2731481481481482E-5</v>
      </c>
      <c r="G63" t="s">
        <v>16</v>
      </c>
      <c r="H63">
        <v>2</v>
      </c>
      <c r="I63">
        <v>67</v>
      </c>
      <c r="J63">
        <v>69</v>
      </c>
      <c r="L63" t="s">
        <v>17</v>
      </c>
      <c r="M63" s="3">
        <f t="shared" si="0"/>
        <v>1.1350000044330955</v>
      </c>
    </row>
    <row r="64" spans="1:36" x14ac:dyDescent="0.25">
      <c r="A64" t="s">
        <v>139</v>
      </c>
      <c r="B64">
        <v>3</v>
      </c>
      <c r="C64" t="s">
        <v>13</v>
      </c>
      <c r="D64" t="s">
        <v>455</v>
      </c>
      <c r="E64" t="s">
        <v>456</v>
      </c>
      <c r="F64" s="1">
        <v>2.0833333333333333E-5</v>
      </c>
      <c r="G64" t="s">
        <v>16</v>
      </c>
      <c r="H64">
        <v>2</v>
      </c>
      <c r="I64">
        <v>67</v>
      </c>
      <c r="J64">
        <v>69</v>
      </c>
      <c r="L64" t="s">
        <v>17</v>
      </c>
      <c r="M64" s="3">
        <f t="shared" si="0"/>
        <v>1.0789998807013035</v>
      </c>
    </row>
    <row r="65" spans="1:13" x14ac:dyDescent="0.25">
      <c r="A65" t="s">
        <v>139</v>
      </c>
      <c r="B65">
        <v>4</v>
      </c>
      <c r="C65" t="s">
        <v>13</v>
      </c>
      <c r="D65" t="s">
        <v>457</v>
      </c>
      <c r="E65" t="s">
        <v>458</v>
      </c>
      <c r="F65" s="1">
        <v>1.3888888888888888E-5</v>
      </c>
      <c r="G65" t="s">
        <v>16</v>
      </c>
      <c r="H65">
        <v>2</v>
      </c>
      <c r="I65">
        <v>67</v>
      </c>
      <c r="J65">
        <v>69</v>
      </c>
      <c r="L65" t="s">
        <v>17</v>
      </c>
      <c r="M65" s="3">
        <f t="shared" si="0"/>
        <v>1.1720000300556421</v>
      </c>
    </row>
    <row r="66" spans="1:13" x14ac:dyDescent="0.25">
      <c r="A66" t="s">
        <v>139</v>
      </c>
      <c r="B66">
        <v>5</v>
      </c>
      <c r="C66" t="s">
        <v>13</v>
      </c>
      <c r="D66" t="s">
        <v>459</v>
      </c>
      <c r="E66" t="s">
        <v>460</v>
      </c>
      <c r="F66" s="1">
        <v>1.5046296296296297E-5</v>
      </c>
      <c r="G66" t="s">
        <v>16</v>
      </c>
      <c r="H66">
        <v>2</v>
      </c>
      <c r="I66">
        <v>67</v>
      </c>
      <c r="J66">
        <v>69</v>
      </c>
      <c r="L66" t="s">
        <v>17</v>
      </c>
      <c r="M66" s="3">
        <f t="shared" si="0"/>
        <v>1.2540001887828112</v>
      </c>
    </row>
    <row r="67" spans="1:13" x14ac:dyDescent="0.25">
      <c r="A67" t="s">
        <v>139</v>
      </c>
      <c r="B67">
        <v>6</v>
      </c>
      <c r="C67" t="s">
        <v>13</v>
      </c>
      <c r="D67" t="s">
        <v>461</v>
      </c>
      <c r="E67" t="s">
        <v>462</v>
      </c>
      <c r="F67" s="1">
        <v>1.2731481481481482E-5</v>
      </c>
      <c r="G67" t="s">
        <v>16</v>
      </c>
      <c r="H67">
        <v>2</v>
      </c>
      <c r="I67">
        <v>67</v>
      </c>
      <c r="J67">
        <v>69</v>
      </c>
      <c r="L67" t="s">
        <v>17</v>
      </c>
      <c r="M67" s="3">
        <f t="shared" ref="M67:M130" si="28">(SUBSTITUTE(LEFT(E67,23),"T"," ")-SUBSTITUTE(LEFT(D67,23),"T"," "))*86400</f>
        <v>1.0140001075342298</v>
      </c>
    </row>
    <row r="68" spans="1:13" x14ac:dyDescent="0.25">
      <c r="A68" t="s">
        <v>139</v>
      </c>
      <c r="B68">
        <v>7</v>
      </c>
      <c r="C68" t="s">
        <v>13</v>
      </c>
      <c r="D68" t="s">
        <v>463</v>
      </c>
      <c r="E68" t="s">
        <v>464</v>
      </c>
      <c r="F68" s="1">
        <v>1.5046296296296297E-5</v>
      </c>
      <c r="G68" t="s">
        <v>16</v>
      </c>
      <c r="H68">
        <v>2</v>
      </c>
      <c r="I68">
        <v>67</v>
      </c>
      <c r="J68">
        <v>69</v>
      </c>
      <c r="L68" t="s">
        <v>17</v>
      </c>
      <c r="M68" s="3">
        <f t="shared" si="28"/>
        <v>1.2680000625550747</v>
      </c>
    </row>
    <row r="69" spans="1:13" x14ac:dyDescent="0.25">
      <c r="A69" t="s">
        <v>139</v>
      </c>
      <c r="B69">
        <v>8</v>
      </c>
      <c r="C69" t="s">
        <v>13</v>
      </c>
      <c r="D69" t="s">
        <v>465</v>
      </c>
      <c r="E69" t="s">
        <v>466</v>
      </c>
      <c r="F69" s="1">
        <v>1.5046296296296297E-5</v>
      </c>
      <c r="G69" t="s">
        <v>16</v>
      </c>
      <c r="H69">
        <v>2</v>
      </c>
      <c r="I69">
        <v>67</v>
      </c>
      <c r="J69">
        <v>69</v>
      </c>
      <c r="L69" t="s">
        <v>17</v>
      </c>
      <c r="M69" s="3">
        <f t="shared" si="28"/>
        <v>1.3259998988360167</v>
      </c>
    </row>
    <row r="70" spans="1:13" x14ac:dyDescent="0.25">
      <c r="A70" t="s">
        <v>139</v>
      </c>
      <c r="B70">
        <v>9</v>
      </c>
      <c r="C70" t="s">
        <v>13</v>
      </c>
      <c r="D70" t="s">
        <v>467</v>
      </c>
      <c r="E70" t="s">
        <v>468</v>
      </c>
      <c r="F70" s="1">
        <v>1.3888888888888888E-5</v>
      </c>
      <c r="G70" t="s">
        <v>16</v>
      </c>
      <c r="H70">
        <v>2</v>
      </c>
      <c r="I70">
        <v>67</v>
      </c>
      <c r="J70">
        <v>69</v>
      </c>
      <c r="L70" t="s">
        <v>17</v>
      </c>
      <c r="M70" s="3">
        <f t="shared" si="28"/>
        <v>1.2390001444146037</v>
      </c>
    </row>
    <row r="71" spans="1:13" x14ac:dyDescent="0.25">
      <c r="A71" t="s">
        <v>139</v>
      </c>
      <c r="B71">
        <v>10</v>
      </c>
      <c r="C71" t="s">
        <v>13</v>
      </c>
      <c r="D71" t="s">
        <v>469</v>
      </c>
      <c r="E71" t="s">
        <v>470</v>
      </c>
      <c r="F71" s="1">
        <v>1.3888888888888888E-5</v>
      </c>
      <c r="G71" t="s">
        <v>16</v>
      </c>
      <c r="H71">
        <v>2</v>
      </c>
      <c r="I71">
        <v>67</v>
      </c>
      <c r="J71">
        <v>69</v>
      </c>
      <c r="L71" t="s">
        <v>17</v>
      </c>
      <c r="M71" s="3">
        <f t="shared" si="28"/>
        <v>1.1610000394284725</v>
      </c>
    </row>
    <row r="72" spans="1:13" x14ac:dyDescent="0.25">
      <c r="A72" t="s">
        <v>139</v>
      </c>
      <c r="B72">
        <v>1</v>
      </c>
      <c r="C72" t="s">
        <v>36</v>
      </c>
      <c r="D72" t="s">
        <v>471</v>
      </c>
      <c r="E72" t="s">
        <v>472</v>
      </c>
      <c r="F72" s="1">
        <v>1.5046296296296297E-5</v>
      </c>
      <c r="G72" t="s">
        <v>16</v>
      </c>
      <c r="H72">
        <v>2</v>
      </c>
      <c r="I72">
        <v>161</v>
      </c>
      <c r="J72">
        <v>163</v>
      </c>
      <c r="L72" t="s">
        <v>17</v>
      </c>
      <c r="M72" s="3">
        <f t="shared" si="28"/>
        <v>1.3340000063180923</v>
      </c>
    </row>
    <row r="73" spans="1:13" x14ac:dyDescent="0.25">
      <c r="A73" t="s">
        <v>139</v>
      </c>
      <c r="B73">
        <v>2</v>
      </c>
      <c r="C73" t="s">
        <v>36</v>
      </c>
      <c r="D73" t="s">
        <v>473</v>
      </c>
      <c r="E73" t="s">
        <v>474</v>
      </c>
      <c r="F73" s="1">
        <v>1.3888888888888888E-5</v>
      </c>
      <c r="G73" t="s">
        <v>16</v>
      </c>
      <c r="H73">
        <v>2</v>
      </c>
      <c r="I73">
        <v>161</v>
      </c>
      <c r="J73">
        <v>163</v>
      </c>
      <c r="L73" t="s">
        <v>17</v>
      </c>
      <c r="M73" s="3">
        <f t="shared" si="28"/>
        <v>1.1589996982365847</v>
      </c>
    </row>
    <row r="74" spans="1:13" x14ac:dyDescent="0.25">
      <c r="A74" t="s">
        <v>139</v>
      </c>
      <c r="B74">
        <v>3</v>
      </c>
      <c r="C74" t="s">
        <v>36</v>
      </c>
      <c r="D74" t="s">
        <v>475</v>
      </c>
      <c r="E74" t="s">
        <v>476</v>
      </c>
      <c r="F74" s="1">
        <v>1.2731481481481482E-5</v>
      </c>
      <c r="G74" t="s">
        <v>16</v>
      </c>
      <c r="H74">
        <v>2</v>
      </c>
      <c r="I74">
        <v>161</v>
      </c>
      <c r="J74">
        <v>163</v>
      </c>
      <c r="L74" t="s">
        <v>17</v>
      </c>
      <c r="M74" s="3">
        <f t="shared" si="28"/>
        <v>1.119999960064888</v>
      </c>
    </row>
    <row r="75" spans="1:13" x14ac:dyDescent="0.25">
      <c r="A75" t="s">
        <v>139</v>
      </c>
      <c r="B75">
        <v>4</v>
      </c>
      <c r="C75" t="s">
        <v>36</v>
      </c>
      <c r="D75" t="s">
        <v>477</v>
      </c>
      <c r="E75" t="s">
        <v>478</v>
      </c>
      <c r="F75" s="1">
        <v>1.3888888888888888E-5</v>
      </c>
      <c r="G75" t="s">
        <v>16</v>
      </c>
      <c r="H75">
        <v>2</v>
      </c>
      <c r="I75">
        <v>161</v>
      </c>
      <c r="J75">
        <v>163</v>
      </c>
      <c r="L75" t="s">
        <v>17</v>
      </c>
      <c r="M75" s="3">
        <f t="shared" si="28"/>
        <v>1.1919996701180935</v>
      </c>
    </row>
    <row r="76" spans="1:13" x14ac:dyDescent="0.25">
      <c r="A76" t="s">
        <v>139</v>
      </c>
      <c r="B76">
        <v>5</v>
      </c>
      <c r="C76" t="s">
        <v>36</v>
      </c>
      <c r="D76" t="s">
        <v>479</v>
      </c>
      <c r="E76" t="s">
        <v>480</v>
      </c>
      <c r="F76" s="1">
        <v>1.3888888888888888E-5</v>
      </c>
      <c r="G76" t="s">
        <v>16</v>
      </c>
      <c r="H76">
        <v>2</v>
      </c>
      <c r="I76">
        <v>161</v>
      </c>
      <c r="J76">
        <v>163</v>
      </c>
      <c r="L76" t="s">
        <v>17</v>
      </c>
      <c r="M76" s="3">
        <f t="shared" si="28"/>
        <v>1.2230005580931902</v>
      </c>
    </row>
    <row r="77" spans="1:13" x14ac:dyDescent="0.25">
      <c r="A77" t="s">
        <v>139</v>
      </c>
      <c r="B77">
        <v>6</v>
      </c>
      <c r="C77" t="s">
        <v>36</v>
      </c>
      <c r="D77" t="s">
        <v>481</v>
      </c>
      <c r="E77" t="s">
        <v>482</v>
      </c>
      <c r="F77" s="1">
        <v>1.1574074074074073E-5</v>
      </c>
      <c r="G77" t="s">
        <v>16</v>
      </c>
      <c r="H77">
        <v>2</v>
      </c>
      <c r="I77">
        <v>161</v>
      </c>
      <c r="J77">
        <v>163</v>
      </c>
      <c r="L77" t="s">
        <v>17</v>
      </c>
      <c r="M77" s="3">
        <f t="shared" si="28"/>
        <v>0.99999960511922836</v>
      </c>
    </row>
    <row r="78" spans="1:13" x14ac:dyDescent="0.25">
      <c r="A78" t="s">
        <v>139</v>
      </c>
      <c r="B78">
        <v>7</v>
      </c>
      <c r="C78" t="s">
        <v>36</v>
      </c>
      <c r="D78" t="s">
        <v>483</v>
      </c>
      <c r="E78" t="s">
        <v>484</v>
      </c>
      <c r="F78" s="1">
        <v>1.6203703703703704E-5</v>
      </c>
      <c r="G78" t="s">
        <v>16</v>
      </c>
      <c r="H78">
        <v>2</v>
      </c>
      <c r="I78">
        <v>161</v>
      </c>
      <c r="J78">
        <v>163</v>
      </c>
      <c r="L78" t="s">
        <v>17</v>
      </c>
      <c r="M78" s="3">
        <f t="shared" si="28"/>
        <v>1.036000088788569</v>
      </c>
    </row>
    <row r="79" spans="1:13" x14ac:dyDescent="0.25">
      <c r="A79" t="s">
        <v>139</v>
      </c>
      <c r="B79">
        <v>8</v>
      </c>
      <c r="C79" t="s">
        <v>36</v>
      </c>
      <c r="D79" t="s">
        <v>485</v>
      </c>
      <c r="E79" t="s">
        <v>486</v>
      </c>
      <c r="F79" s="1">
        <v>1.2731481481481482E-5</v>
      </c>
      <c r="G79" t="s">
        <v>16</v>
      </c>
      <c r="H79">
        <v>2</v>
      </c>
      <c r="I79">
        <v>161</v>
      </c>
      <c r="J79">
        <v>163</v>
      </c>
      <c r="L79" t="s">
        <v>17</v>
      </c>
      <c r="M79" s="3">
        <f t="shared" si="28"/>
        <v>1.1309999506920576</v>
      </c>
    </row>
    <row r="80" spans="1:13" x14ac:dyDescent="0.25">
      <c r="A80" t="s">
        <v>139</v>
      </c>
      <c r="B80">
        <v>9</v>
      </c>
      <c r="C80" t="s">
        <v>36</v>
      </c>
      <c r="D80" t="s">
        <v>487</v>
      </c>
      <c r="E80" t="s">
        <v>488</v>
      </c>
      <c r="F80" s="1">
        <v>1.1574074074074073E-5</v>
      </c>
      <c r="G80" t="s">
        <v>16</v>
      </c>
      <c r="H80">
        <v>2</v>
      </c>
      <c r="I80">
        <v>161</v>
      </c>
      <c r="J80">
        <v>163</v>
      </c>
      <c r="L80" t="s">
        <v>17</v>
      </c>
      <c r="M80" s="3">
        <f t="shared" si="28"/>
        <v>0.99400046747177839</v>
      </c>
    </row>
    <row r="81" spans="1:13" x14ac:dyDescent="0.25">
      <c r="A81" t="s">
        <v>139</v>
      </c>
      <c r="B81">
        <v>10</v>
      </c>
      <c r="C81" t="s">
        <v>36</v>
      </c>
      <c r="D81" t="s">
        <v>489</v>
      </c>
      <c r="E81" t="s">
        <v>490</v>
      </c>
      <c r="F81" s="1">
        <v>1.2731481481481482E-5</v>
      </c>
      <c r="G81" t="s">
        <v>16</v>
      </c>
      <c r="H81">
        <v>2</v>
      </c>
      <c r="I81">
        <v>161</v>
      </c>
      <c r="J81">
        <v>163</v>
      </c>
      <c r="L81" t="s">
        <v>17</v>
      </c>
      <c r="M81" s="3">
        <f t="shared" si="28"/>
        <v>1.1440002825111151</v>
      </c>
    </row>
    <row r="82" spans="1:13" x14ac:dyDescent="0.25">
      <c r="A82" t="s">
        <v>139</v>
      </c>
      <c r="B82">
        <v>1</v>
      </c>
      <c r="C82" t="s">
        <v>57</v>
      </c>
      <c r="D82" t="s">
        <v>491</v>
      </c>
      <c r="E82" t="s">
        <v>492</v>
      </c>
      <c r="F82" s="1">
        <v>1.5046296296296297E-5</v>
      </c>
      <c r="G82" t="s">
        <v>16</v>
      </c>
      <c r="H82">
        <v>2</v>
      </c>
      <c r="I82">
        <v>94</v>
      </c>
      <c r="J82">
        <v>96</v>
      </c>
      <c r="L82" t="s">
        <v>17</v>
      </c>
      <c r="M82" s="3">
        <f t="shared" si="28"/>
        <v>1.3189999619498849</v>
      </c>
    </row>
    <row r="83" spans="1:13" x14ac:dyDescent="0.25">
      <c r="A83" t="s">
        <v>139</v>
      </c>
      <c r="B83">
        <v>2</v>
      </c>
      <c r="C83" t="s">
        <v>57</v>
      </c>
      <c r="D83" t="s">
        <v>493</v>
      </c>
      <c r="E83" t="s">
        <v>494</v>
      </c>
      <c r="F83" s="1">
        <v>1.2731481481481482E-5</v>
      </c>
      <c r="G83" t="s">
        <v>16</v>
      </c>
      <c r="H83">
        <v>2</v>
      </c>
      <c r="I83">
        <v>94</v>
      </c>
      <c r="J83">
        <v>96</v>
      </c>
      <c r="L83" t="s">
        <v>17</v>
      </c>
      <c r="M83" s="3">
        <f t="shared" si="28"/>
        <v>1.1360001750290394</v>
      </c>
    </row>
    <row r="84" spans="1:13" x14ac:dyDescent="0.25">
      <c r="A84" t="s">
        <v>139</v>
      </c>
      <c r="B84">
        <v>3</v>
      </c>
      <c r="C84" t="s">
        <v>57</v>
      </c>
      <c r="D84" t="s">
        <v>495</v>
      </c>
      <c r="E84" t="s">
        <v>496</v>
      </c>
      <c r="F84" s="1">
        <v>1.3888888888888888E-5</v>
      </c>
      <c r="G84" t="s">
        <v>16</v>
      </c>
      <c r="H84">
        <v>2</v>
      </c>
      <c r="I84">
        <v>94</v>
      </c>
      <c r="J84">
        <v>96</v>
      </c>
      <c r="L84" t="s">
        <v>17</v>
      </c>
      <c r="M84" s="3">
        <f t="shared" si="28"/>
        <v>1.2189998757094145</v>
      </c>
    </row>
    <row r="85" spans="1:13" x14ac:dyDescent="0.25">
      <c r="A85" t="s">
        <v>139</v>
      </c>
      <c r="B85">
        <v>4</v>
      </c>
      <c r="C85" t="s">
        <v>57</v>
      </c>
      <c r="D85" t="s">
        <v>497</v>
      </c>
      <c r="E85" t="s">
        <v>498</v>
      </c>
      <c r="F85" s="1">
        <v>1.7361111111111111E-5</v>
      </c>
      <c r="G85" t="s">
        <v>16</v>
      </c>
      <c r="H85">
        <v>2</v>
      </c>
      <c r="I85">
        <v>94</v>
      </c>
      <c r="J85">
        <v>96</v>
      </c>
      <c r="L85" t="s">
        <v>17</v>
      </c>
      <c r="M85" s="3">
        <f t="shared" si="28"/>
        <v>1.0489997919648886</v>
      </c>
    </row>
    <row r="86" spans="1:13" x14ac:dyDescent="0.25">
      <c r="A86" t="s">
        <v>139</v>
      </c>
      <c r="B86">
        <v>5</v>
      </c>
      <c r="C86" t="s">
        <v>57</v>
      </c>
      <c r="D86" t="s">
        <v>499</v>
      </c>
      <c r="E86" t="s">
        <v>500</v>
      </c>
      <c r="F86" s="1">
        <v>1.3888888888888888E-5</v>
      </c>
      <c r="G86" t="s">
        <v>16</v>
      </c>
      <c r="H86">
        <v>2</v>
      </c>
      <c r="I86">
        <v>94</v>
      </c>
      <c r="J86">
        <v>96</v>
      </c>
      <c r="L86" t="s">
        <v>17</v>
      </c>
      <c r="M86" s="3">
        <f t="shared" si="28"/>
        <v>1.1599998688325286</v>
      </c>
    </row>
    <row r="87" spans="1:13" x14ac:dyDescent="0.25">
      <c r="A87" t="s">
        <v>139</v>
      </c>
      <c r="B87">
        <v>6</v>
      </c>
      <c r="C87" t="s">
        <v>57</v>
      </c>
      <c r="D87" t="s">
        <v>501</v>
      </c>
      <c r="E87" t="s">
        <v>502</v>
      </c>
      <c r="F87" s="1">
        <v>1.2731481481481482E-5</v>
      </c>
      <c r="G87" t="s">
        <v>16</v>
      </c>
      <c r="H87">
        <v>2</v>
      </c>
      <c r="I87">
        <v>94</v>
      </c>
      <c r="J87">
        <v>96</v>
      </c>
      <c r="L87" t="s">
        <v>17</v>
      </c>
      <c r="M87" s="3">
        <f t="shared" si="28"/>
        <v>1.1290002381429076</v>
      </c>
    </row>
    <row r="88" spans="1:13" x14ac:dyDescent="0.25">
      <c r="A88" t="s">
        <v>139</v>
      </c>
      <c r="B88">
        <v>7</v>
      </c>
      <c r="C88" t="s">
        <v>57</v>
      </c>
      <c r="D88" t="s">
        <v>503</v>
      </c>
      <c r="E88" t="s">
        <v>504</v>
      </c>
      <c r="F88" s="1">
        <v>1.1574074074074073E-5</v>
      </c>
      <c r="G88" t="s">
        <v>16</v>
      </c>
      <c r="H88">
        <v>2</v>
      </c>
      <c r="I88">
        <v>94</v>
      </c>
      <c r="J88">
        <v>96</v>
      </c>
      <c r="L88" t="s">
        <v>17</v>
      </c>
      <c r="M88" s="3">
        <f t="shared" si="28"/>
        <v>0.97599991131573915</v>
      </c>
    </row>
    <row r="89" spans="1:13" x14ac:dyDescent="0.25">
      <c r="A89" t="s">
        <v>139</v>
      </c>
      <c r="B89">
        <v>8</v>
      </c>
      <c r="C89" t="s">
        <v>57</v>
      </c>
      <c r="D89" t="s">
        <v>505</v>
      </c>
      <c r="E89" t="s">
        <v>506</v>
      </c>
      <c r="F89" s="1">
        <v>1.3888888888888888E-5</v>
      </c>
      <c r="G89" t="s">
        <v>16</v>
      </c>
      <c r="H89">
        <v>2</v>
      </c>
      <c r="I89">
        <v>94</v>
      </c>
      <c r="J89">
        <v>96</v>
      </c>
      <c r="L89" t="s">
        <v>17</v>
      </c>
      <c r="M89" s="3">
        <f t="shared" si="28"/>
        <v>1.2249996419996023</v>
      </c>
    </row>
    <row r="90" spans="1:13" x14ac:dyDescent="0.25">
      <c r="A90" t="s">
        <v>139</v>
      </c>
      <c r="B90">
        <v>9</v>
      </c>
      <c r="C90" t="s">
        <v>57</v>
      </c>
      <c r="D90" t="s">
        <v>507</v>
      </c>
      <c r="E90" t="s">
        <v>508</v>
      </c>
      <c r="F90" s="1">
        <v>1.2731481481481482E-5</v>
      </c>
      <c r="G90" t="s">
        <v>16</v>
      </c>
      <c r="H90">
        <v>2</v>
      </c>
      <c r="I90">
        <v>94</v>
      </c>
      <c r="J90">
        <v>96</v>
      </c>
      <c r="L90" t="s">
        <v>17</v>
      </c>
      <c r="M90" s="3">
        <f t="shared" si="28"/>
        <v>1.1319994926452637</v>
      </c>
    </row>
    <row r="91" spans="1:13" x14ac:dyDescent="0.25">
      <c r="A91" t="s">
        <v>139</v>
      </c>
      <c r="B91">
        <v>10</v>
      </c>
      <c r="C91" t="s">
        <v>57</v>
      </c>
      <c r="D91" t="s">
        <v>509</v>
      </c>
      <c r="E91" t="s">
        <v>510</v>
      </c>
      <c r="F91" s="1">
        <v>1.1574074074074073E-5</v>
      </c>
      <c r="G91" t="s">
        <v>16</v>
      </c>
      <c r="H91">
        <v>2</v>
      </c>
      <c r="I91">
        <v>94</v>
      </c>
      <c r="J91">
        <v>96</v>
      </c>
      <c r="L91" t="s">
        <v>17</v>
      </c>
      <c r="M91" s="3">
        <f t="shared" si="28"/>
        <v>0.96300020813941956</v>
      </c>
    </row>
    <row r="92" spans="1:13" x14ac:dyDescent="0.25">
      <c r="A92" t="s">
        <v>200</v>
      </c>
      <c r="B92">
        <v>1</v>
      </c>
      <c r="C92" t="s">
        <v>13</v>
      </c>
      <c r="D92" t="s">
        <v>511</v>
      </c>
      <c r="E92" t="s">
        <v>512</v>
      </c>
      <c r="F92" s="1">
        <v>1.5046296296296297E-5</v>
      </c>
      <c r="G92" t="s">
        <v>16</v>
      </c>
      <c r="H92">
        <v>3</v>
      </c>
      <c r="I92">
        <v>67</v>
      </c>
      <c r="J92">
        <v>70</v>
      </c>
      <c r="L92" t="s">
        <v>17</v>
      </c>
      <c r="M92" s="3">
        <f t="shared" si="28"/>
        <v>1.2980001512914896</v>
      </c>
    </row>
    <row r="93" spans="1:13" x14ac:dyDescent="0.25">
      <c r="A93" t="s">
        <v>200</v>
      </c>
      <c r="B93">
        <v>2</v>
      </c>
      <c r="C93" t="s">
        <v>13</v>
      </c>
      <c r="D93" t="s">
        <v>513</v>
      </c>
      <c r="E93" t="s">
        <v>514</v>
      </c>
      <c r="F93" s="1">
        <v>1.5046296296296297E-5</v>
      </c>
      <c r="G93" t="s">
        <v>16</v>
      </c>
      <c r="H93">
        <v>3</v>
      </c>
      <c r="I93">
        <v>67</v>
      </c>
      <c r="J93">
        <v>70</v>
      </c>
      <c r="L93" t="s">
        <v>17</v>
      </c>
      <c r="M93" s="3">
        <f t="shared" si="28"/>
        <v>1.3100003125146031</v>
      </c>
    </row>
    <row r="94" spans="1:13" x14ac:dyDescent="0.25">
      <c r="A94" t="s">
        <v>200</v>
      </c>
      <c r="B94">
        <v>3</v>
      </c>
      <c r="C94" t="s">
        <v>13</v>
      </c>
      <c r="D94" t="s">
        <v>515</v>
      </c>
      <c r="E94" t="s">
        <v>516</v>
      </c>
      <c r="F94" s="1">
        <v>1.3888888888888888E-5</v>
      </c>
      <c r="G94" t="s">
        <v>16</v>
      </c>
      <c r="H94">
        <v>3</v>
      </c>
      <c r="I94">
        <v>67</v>
      </c>
      <c r="J94">
        <v>70</v>
      </c>
      <c r="L94" t="s">
        <v>17</v>
      </c>
      <c r="M94" s="3">
        <f t="shared" si="28"/>
        <v>1.2400003150105476</v>
      </c>
    </row>
    <row r="95" spans="1:13" x14ac:dyDescent="0.25">
      <c r="A95" t="s">
        <v>200</v>
      </c>
      <c r="B95">
        <v>4</v>
      </c>
      <c r="C95" t="s">
        <v>13</v>
      </c>
      <c r="D95" t="s">
        <v>517</v>
      </c>
      <c r="E95" t="s">
        <v>518</v>
      </c>
      <c r="F95" s="1">
        <v>1.6203703703703704E-5</v>
      </c>
      <c r="G95" t="s">
        <v>16</v>
      </c>
      <c r="H95">
        <v>3</v>
      </c>
      <c r="I95">
        <v>67</v>
      </c>
      <c r="J95">
        <v>70</v>
      </c>
      <c r="L95" t="s">
        <v>17</v>
      </c>
      <c r="M95" s="3">
        <f t="shared" si="28"/>
        <v>1.3629999244585633</v>
      </c>
    </row>
    <row r="96" spans="1:13" x14ac:dyDescent="0.25">
      <c r="A96" t="s">
        <v>200</v>
      </c>
      <c r="B96">
        <v>5</v>
      </c>
      <c r="C96" t="s">
        <v>13</v>
      </c>
      <c r="D96" t="s">
        <v>519</v>
      </c>
      <c r="E96" t="s">
        <v>520</v>
      </c>
      <c r="F96" s="1">
        <v>1.2731481481481482E-5</v>
      </c>
      <c r="G96" t="s">
        <v>16</v>
      </c>
      <c r="H96">
        <v>3</v>
      </c>
      <c r="I96">
        <v>67</v>
      </c>
      <c r="J96">
        <v>70</v>
      </c>
      <c r="L96" t="s">
        <v>17</v>
      </c>
      <c r="M96" s="3">
        <f t="shared" si="28"/>
        <v>1.1100001400336623</v>
      </c>
    </row>
    <row r="97" spans="1:13" x14ac:dyDescent="0.25">
      <c r="A97" t="s">
        <v>200</v>
      </c>
      <c r="B97">
        <v>6</v>
      </c>
      <c r="C97" t="s">
        <v>13</v>
      </c>
      <c r="D97" t="s">
        <v>521</v>
      </c>
      <c r="E97" t="s">
        <v>522</v>
      </c>
      <c r="F97" s="1">
        <v>2.6620370370370369E-5</v>
      </c>
      <c r="G97" t="s">
        <v>16</v>
      </c>
      <c r="H97">
        <v>3</v>
      </c>
      <c r="I97">
        <v>67</v>
      </c>
      <c r="J97">
        <v>70</v>
      </c>
      <c r="L97" t="s">
        <v>17</v>
      </c>
      <c r="M97" s="3">
        <f t="shared" si="28"/>
        <v>2.2619999013841152</v>
      </c>
    </row>
    <row r="98" spans="1:13" x14ac:dyDescent="0.25">
      <c r="A98" t="s">
        <v>200</v>
      </c>
      <c r="B98">
        <v>7</v>
      </c>
      <c r="C98" t="s">
        <v>13</v>
      </c>
      <c r="D98" t="s">
        <v>523</v>
      </c>
      <c r="E98" t="s">
        <v>524</v>
      </c>
      <c r="F98" s="1">
        <v>1.5046296296296297E-5</v>
      </c>
      <c r="G98" t="s">
        <v>16</v>
      </c>
      <c r="H98">
        <v>3</v>
      </c>
      <c r="I98">
        <v>67</v>
      </c>
      <c r="J98">
        <v>70</v>
      </c>
      <c r="L98" t="s">
        <v>17</v>
      </c>
      <c r="M98" s="3">
        <f t="shared" si="28"/>
        <v>1.2669998919591308</v>
      </c>
    </row>
    <row r="99" spans="1:13" x14ac:dyDescent="0.25">
      <c r="A99" t="s">
        <v>200</v>
      </c>
      <c r="B99">
        <v>8</v>
      </c>
      <c r="C99" t="s">
        <v>13</v>
      </c>
      <c r="D99" t="s">
        <v>525</v>
      </c>
      <c r="E99" t="s">
        <v>526</v>
      </c>
      <c r="F99" s="1">
        <v>1.5046296296296297E-5</v>
      </c>
      <c r="G99" t="s">
        <v>16</v>
      </c>
      <c r="H99">
        <v>3</v>
      </c>
      <c r="I99">
        <v>67</v>
      </c>
      <c r="J99">
        <v>70</v>
      </c>
      <c r="L99" t="s">
        <v>17</v>
      </c>
      <c r="M99" s="3">
        <f t="shared" si="28"/>
        <v>1.2859999900683761</v>
      </c>
    </row>
    <row r="100" spans="1:13" x14ac:dyDescent="0.25">
      <c r="A100" t="s">
        <v>200</v>
      </c>
      <c r="B100">
        <v>9</v>
      </c>
      <c r="C100" t="s">
        <v>13</v>
      </c>
      <c r="D100" t="s">
        <v>527</v>
      </c>
      <c r="E100" t="s">
        <v>528</v>
      </c>
      <c r="F100" s="1">
        <v>1.5046296296296297E-5</v>
      </c>
      <c r="G100" t="s">
        <v>16</v>
      </c>
      <c r="H100">
        <v>3</v>
      </c>
      <c r="I100">
        <v>67</v>
      </c>
      <c r="J100">
        <v>70</v>
      </c>
      <c r="L100" t="s">
        <v>17</v>
      </c>
      <c r="M100" s="3">
        <f t="shared" si="28"/>
        <v>1.2729996582493186</v>
      </c>
    </row>
    <row r="101" spans="1:13" x14ac:dyDescent="0.25">
      <c r="A101" t="s">
        <v>200</v>
      </c>
      <c r="B101">
        <v>10</v>
      </c>
      <c r="C101" t="s">
        <v>13</v>
      </c>
      <c r="D101" t="s">
        <v>529</v>
      </c>
      <c r="E101" t="s">
        <v>530</v>
      </c>
      <c r="F101" s="1">
        <v>1.2731481481481482E-5</v>
      </c>
      <c r="G101" t="s">
        <v>16</v>
      </c>
      <c r="H101">
        <v>3</v>
      </c>
      <c r="I101">
        <v>67</v>
      </c>
      <c r="J101">
        <v>70</v>
      </c>
      <c r="L101" t="s">
        <v>17</v>
      </c>
      <c r="M101" s="3">
        <f t="shared" si="28"/>
        <v>1.1210001306608319</v>
      </c>
    </row>
    <row r="102" spans="1:13" x14ac:dyDescent="0.25">
      <c r="A102" t="s">
        <v>200</v>
      </c>
      <c r="B102">
        <v>1</v>
      </c>
      <c r="C102" t="s">
        <v>36</v>
      </c>
      <c r="D102" t="s">
        <v>531</v>
      </c>
      <c r="E102" t="s">
        <v>532</v>
      </c>
      <c r="F102" s="1">
        <v>1.2731481481481482E-5</v>
      </c>
      <c r="G102" t="s">
        <v>16</v>
      </c>
      <c r="H102">
        <v>3</v>
      </c>
      <c r="I102">
        <v>139</v>
      </c>
      <c r="J102">
        <v>142</v>
      </c>
      <c r="L102" t="s">
        <v>17</v>
      </c>
      <c r="M102" s="3">
        <f t="shared" si="28"/>
        <v>1.1320001212880015</v>
      </c>
    </row>
    <row r="103" spans="1:13" x14ac:dyDescent="0.25">
      <c r="A103" t="s">
        <v>200</v>
      </c>
      <c r="B103">
        <v>2</v>
      </c>
      <c r="C103" t="s">
        <v>36</v>
      </c>
      <c r="D103" t="s">
        <v>533</v>
      </c>
      <c r="E103" t="s">
        <v>534</v>
      </c>
      <c r="F103" s="1">
        <v>1.3888888888888888E-5</v>
      </c>
      <c r="G103" t="s">
        <v>16</v>
      </c>
      <c r="H103">
        <v>3</v>
      </c>
      <c r="I103">
        <v>139</v>
      </c>
      <c r="J103">
        <v>142</v>
      </c>
      <c r="L103" t="s">
        <v>17</v>
      </c>
      <c r="M103" s="3">
        <f t="shared" si="28"/>
        <v>1.1819998500868678</v>
      </c>
    </row>
    <row r="104" spans="1:13" x14ac:dyDescent="0.25">
      <c r="A104" t="s">
        <v>200</v>
      </c>
      <c r="B104">
        <v>3</v>
      </c>
      <c r="C104" t="s">
        <v>36</v>
      </c>
      <c r="D104" t="s">
        <v>535</v>
      </c>
      <c r="E104" t="s">
        <v>536</v>
      </c>
      <c r="F104" s="1">
        <v>1.2731481481481482E-5</v>
      </c>
      <c r="G104" t="s">
        <v>16</v>
      </c>
      <c r="H104">
        <v>3</v>
      </c>
      <c r="I104">
        <v>139</v>
      </c>
      <c r="J104">
        <v>142</v>
      </c>
      <c r="L104" t="s">
        <v>17</v>
      </c>
      <c r="M104" s="3">
        <f t="shared" si="28"/>
        <v>1.1060000862926245</v>
      </c>
    </row>
    <row r="105" spans="1:13" x14ac:dyDescent="0.25">
      <c r="A105" t="s">
        <v>200</v>
      </c>
      <c r="B105">
        <v>4</v>
      </c>
      <c r="C105" t="s">
        <v>36</v>
      </c>
      <c r="D105" t="s">
        <v>537</v>
      </c>
      <c r="E105" t="s">
        <v>538</v>
      </c>
      <c r="F105" s="1">
        <v>1.3888888888888888E-5</v>
      </c>
      <c r="G105" t="s">
        <v>16</v>
      </c>
      <c r="H105">
        <v>3</v>
      </c>
      <c r="I105">
        <v>139</v>
      </c>
      <c r="J105">
        <v>142</v>
      </c>
      <c r="L105" t="s">
        <v>17</v>
      </c>
      <c r="M105" s="3">
        <f t="shared" si="28"/>
        <v>1.2460000813007355</v>
      </c>
    </row>
    <row r="106" spans="1:13" x14ac:dyDescent="0.25">
      <c r="A106" t="s">
        <v>200</v>
      </c>
      <c r="B106">
        <v>5</v>
      </c>
      <c r="C106" t="s">
        <v>36</v>
      </c>
      <c r="D106" t="s">
        <v>539</v>
      </c>
      <c r="E106" t="s">
        <v>540</v>
      </c>
      <c r="F106" s="1">
        <v>1.7361111111111111E-5</v>
      </c>
      <c r="G106" t="s">
        <v>16</v>
      </c>
      <c r="H106">
        <v>3</v>
      </c>
      <c r="I106">
        <v>139</v>
      </c>
      <c r="J106">
        <v>142</v>
      </c>
      <c r="L106" t="s">
        <v>17</v>
      </c>
      <c r="M106" s="3">
        <f t="shared" si="28"/>
        <v>1.5049996320158243</v>
      </c>
    </row>
    <row r="107" spans="1:13" x14ac:dyDescent="0.25">
      <c r="A107" t="s">
        <v>200</v>
      </c>
      <c r="B107">
        <v>6</v>
      </c>
      <c r="C107" t="s">
        <v>36</v>
      </c>
      <c r="D107" t="s">
        <v>541</v>
      </c>
      <c r="E107" t="s">
        <v>542</v>
      </c>
      <c r="F107" s="1">
        <v>1.5046296296296297E-5</v>
      </c>
      <c r="G107" t="s">
        <v>16</v>
      </c>
      <c r="H107">
        <v>3</v>
      </c>
      <c r="I107">
        <v>139</v>
      </c>
      <c r="J107">
        <v>142</v>
      </c>
      <c r="L107" t="s">
        <v>17</v>
      </c>
      <c r="M107" s="3">
        <f t="shared" si="28"/>
        <v>1.2590004131197929</v>
      </c>
    </row>
    <row r="108" spans="1:13" x14ac:dyDescent="0.25">
      <c r="A108" t="s">
        <v>200</v>
      </c>
      <c r="B108">
        <v>7</v>
      </c>
      <c r="C108" t="s">
        <v>36</v>
      </c>
      <c r="D108" t="s">
        <v>543</v>
      </c>
      <c r="E108" t="s">
        <v>544</v>
      </c>
      <c r="F108" s="1">
        <v>1.3888888888888888E-5</v>
      </c>
      <c r="G108" t="s">
        <v>16</v>
      </c>
      <c r="H108">
        <v>3</v>
      </c>
      <c r="I108">
        <v>139</v>
      </c>
      <c r="J108">
        <v>142</v>
      </c>
      <c r="L108" t="s">
        <v>17</v>
      </c>
      <c r="M108" s="3">
        <f t="shared" si="28"/>
        <v>1.1770002543926239</v>
      </c>
    </row>
    <row r="109" spans="1:13" x14ac:dyDescent="0.25">
      <c r="A109" t="s">
        <v>200</v>
      </c>
      <c r="B109">
        <v>8</v>
      </c>
      <c r="C109" t="s">
        <v>36</v>
      </c>
      <c r="D109" t="s">
        <v>545</v>
      </c>
      <c r="E109" t="s">
        <v>546</v>
      </c>
      <c r="F109" s="1">
        <v>1.3888888888888888E-5</v>
      </c>
      <c r="G109" t="s">
        <v>16</v>
      </c>
      <c r="H109">
        <v>3</v>
      </c>
      <c r="I109">
        <v>139</v>
      </c>
      <c r="J109">
        <v>142</v>
      </c>
      <c r="L109" t="s">
        <v>17</v>
      </c>
      <c r="M109" s="3">
        <f t="shared" si="28"/>
        <v>1.2259998125955462</v>
      </c>
    </row>
    <row r="110" spans="1:13" x14ac:dyDescent="0.25">
      <c r="A110" t="s">
        <v>200</v>
      </c>
      <c r="B110">
        <v>9</v>
      </c>
      <c r="C110" t="s">
        <v>36</v>
      </c>
      <c r="D110" t="s">
        <v>547</v>
      </c>
      <c r="E110" t="s">
        <v>548</v>
      </c>
      <c r="F110" s="1">
        <v>1.5046296296296297E-5</v>
      </c>
      <c r="G110" t="s">
        <v>16</v>
      </c>
      <c r="H110">
        <v>3</v>
      </c>
      <c r="I110">
        <v>139</v>
      </c>
      <c r="J110">
        <v>142</v>
      </c>
      <c r="L110" t="s">
        <v>17</v>
      </c>
      <c r="M110" s="3">
        <f t="shared" si="28"/>
        <v>1.2749999994412065</v>
      </c>
    </row>
    <row r="111" spans="1:13" x14ac:dyDescent="0.25">
      <c r="A111" t="s">
        <v>200</v>
      </c>
      <c r="B111">
        <v>10</v>
      </c>
      <c r="C111" t="s">
        <v>36</v>
      </c>
      <c r="D111" t="s">
        <v>549</v>
      </c>
      <c r="E111" t="s">
        <v>550</v>
      </c>
      <c r="F111" s="1">
        <v>2.8935185185185186E-5</v>
      </c>
      <c r="G111" t="s">
        <v>16</v>
      </c>
      <c r="H111">
        <v>3</v>
      </c>
      <c r="I111">
        <v>139</v>
      </c>
      <c r="J111">
        <v>142</v>
      </c>
      <c r="L111" t="s">
        <v>17</v>
      </c>
      <c r="M111" s="3">
        <f t="shared" si="28"/>
        <v>2.5370002957060933</v>
      </c>
    </row>
    <row r="112" spans="1:13" x14ac:dyDescent="0.25">
      <c r="A112" t="s">
        <v>200</v>
      </c>
      <c r="B112">
        <v>1</v>
      </c>
      <c r="C112" t="s">
        <v>57</v>
      </c>
      <c r="D112" t="s">
        <v>551</v>
      </c>
      <c r="E112" t="s">
        <v>552</v>
      </c>
      <c r="F112" s="1">
        <v>1.5046296296296297E-5</v>
      </c>
      <c r="G112" t="s">
        <v>16</v>
      </c>
      <c r="H112">
        <v>3</v>
      </c>
      <c r="I112">
        <v>101</v>
      </c>
      <c r="J112">
        <v>104</v>
      </c>
      <c r="L112" t="s">
        <v>17</v>
      </c>
      <c r="M112" s="3">
        <f t="shared" si="28"/>
        <v>1.2690002331510186</v>
      </c>
    </row>
    <row r="113" spans="1:13" x14ac:dyDescent="0.25">
      <c r="A113" t="s">
        <v>200</v>
      </c>
      <c r="B113">
        <v>2</v>
      </c>
      <c r="C113" t="s">
        <v>57</v>
      </c>
      <c r="D113" t="s">
        <v>553</v>
      </c>
      <c r="E113" t="s">
        <v>554</v>
      </c>
      <c r="F113" s="1">
        <v>1.3888888888888888E-5</v>
      </c>
      <c r="G113" t="s">
        <v>16</v>
      </c>
      <c r="H113">
        <v>3</v>
      </c>
      <c r="I113">
        <v>101</v>
      </c>
      <c r="J113">
        <v>104</v>
      </c>
      <c r="L113" t="s">
        <v>17</v>
      </c>
      <c r="M113" s="3">
        <f t="shared" si="28"/>
        <v>1.2370004318654537</v>
      </c>
    </row>
    <row r="114" spans="1:13" x14ac:dyDescent="0.25">
      <c r="A114" t="s">
        <v>200</v>
      </c>
      <c r="B114">
        <v>3</v>
      </c>
      <c r="C114" t="s">
        <v>57</v>
      </c>
      <c r="D114" t="s">
        <v>555</v>
      </c>
      <c r="E114" t="s">
        <v>556</v>
      </c>
      <c r="F114" s="1">
        <v>1.3888888888888888E-5</v>
      </c>
      <c r="G114" t="s">
        <v>16</v>
      </c>
      <c r="H114">
        <v>3</v>
      </c>
      <c r="I114">
        <v>101</v>
      </c>
      <c r="J114">
        <v>104</v>
      </c>
      <c r="L114" t="s">
        <v>17</v>
      </c>
      <c r="M114" s="3">
        <f t="shared" si="28"/>
        <v>1.1559998150914907</v>
      </c>
    </row>
    <row r="115" spans="1:13" x14ac:dyDescent="0.25">
      <c r="A115" t="s">
        <v>200</v>
      </c>
      <c r="B115">
        <v>4</v>
      </c>
      <c r="C115" t="s">
        <v>57</v>
      </c>
      <c r="D115" t="s">
        <v>557</v>
      </c>
      <c r="E115" t="s">
        <v>558</v>
      </c>
      <c r="F115" s="1">
        <v>1.3888888888888888E-5</v>
      </c>
      <c r="G115" t="s">
        <v>16</v>
      </c>
      <c r="H115">
        <v>3</v>
      </c>
      <c r="I115">
        <v>101</v>
      </c>
      <c r="J115">
        <v>104</v>
      </c>
      <c r="L115" t="s">
        <v>17</v>
      </c>
      <c r="M115" s="3">
        <f t="shared" si="28"/>
        <v>1.2350000906735659</v>
      </c>
    </row>
    <row r="116" spans="1:13" x14ac:dyDescent="0.25">
      <c r="A116" t="s">
        <v>200</v>
      </c>
      <c r="B116">
        <v>5</v>
      </c>
      <c r="C116" t="s">
        <v>57</v>
      </c>
      <c r="D116" t="s">
        <v>559</v>
      </c>
      <c r="E116" t="s">
        <v>560</v>
      </c>
      <c r="F116" s="1">
        <v>1.2731481481481482E-5</v>
      </c>
      <c r="G116" t="s">
        <v>16</v>
      </c>
      <c r="H116">
        <v>3</v>
      </c>
      <c r="I116">
        <v>101</v>
      </c>
      <c r="J116">
        <v>104</v>
      </c>
      <c r="L116" t="s">
        <v>17</v>
      </c>
      <c r="M116" s="3">
        <f t="shared" si="28"/>
        <v>1.1229998432099819</v>
      </c>
    </row>
    <row r="117" spans="1:13" x14ac:dyDescent="0.25">
      <c r="A117" t="s">
        <v>200</v>
      </c>
      <c r="B117">
        <v>6</v>
      </c>
      <c r="C117" t="s">
        <v>57</v>
      </c>
      <c r="D117" t="s">
        <v>561</v>
      </c>
      <c r="E117" t="s">
        <v>562</v>
      </c>
      <c r="F117" s="1">
        <v>1.2731481481481482E-5</v>
      </c>
      <c r="G117" t="s">
        <v>16</v>
      </c>
      <c r="H117">
        <v>3</v>
      </c>
      <c r="I117">
        <v>101</v>
      </c>
      <c r="J117">
        <v>104</v>
      </c>
      <c r="L117" t="s">
        <v>17</v>
      </c>
      <c r="M117" s="3">
        <f t="shared" si="28"/>
        <v>1.1419999413192272</v>
      </c>
    </row>
    <row r="118" spans="1:13" x14ac:dyDescent="0.25">
      <c r="A118" t="s">
        <v>200</v>
      </c>
      <c r="B118">
        <v>7</v>
      </c>
      <c r="C118" t="s">
        <v>57</v>
      </c>
      <c r="D118" t="s">
        <v>563</v>
      </c>
      <c r="E118" t="s">
        <v>564</v>
      </c>
      <c r="F118" s="1">
        <v>1.3888888888888888E-5</v>
      </c>
      <c r="G118" t="s">
        <v>16</v>
      </c>
      <c r="H118">
        <v>3</v>
      </c>
      <c r="I118">
        <v>101</v>
      </c>
      <c r="J118">
        <v>104</v>
      </c>
      <c r="L118" t="s">
        <v>17</v>
      </c>
      <c r="M118" s="3">
        <f t="shared" si="28"/>
        <v>1.1679999763146043</v>
      </c>
    </row>
    <row r="119" spans="1:13" x14ac:dyDescent="0.25">
      <c r="A119" t="s">
        <v>200</v>
      </c>
      <c r="B119">
        <v>8</v>
      </c>
      <c r="C119" t="s">
        <v>57</v>
      </c>
      <c r="D119" t="s">
        <v>565</v>
      </c>
      <c r="E119" t="s">
        <v>566</v>
      </c>
      <c r="F119" s="1">
        <v>1.7361111111111111E-5</v>
      </c>
      <c r="G119" t="s">
        <v>16</v>
      </c>
      <c r="H119">
        <v>3</v>
      </c>
      <c r="I119">
        <v>101</v>
      </c>
      <c r="J119">
        <v>104</v>
      </c>
      <c r="L119" t="s">
        <v>17</v>
      </c>
      <c r="M119" s="3">
        <f t="shared" si="28"/>
        <v>1.4939996413886547</v>
      </c>
    </row>
    <row r="120" spans="1:13" x14ac:dyDescent="0.25">
      <c r="A120" t="s">
        <v>200</v>
      </c>
      <c r="B120">
        <v>9</v>
      </c>
      <c r="C120" t="s">
        <v>57</v>
      </c>
      <c r="D120" t="s">
        <v>567</v>
      </c>
      <c r="E120" t="s">
        <v>568</v>
      </c>
      <c r="F120" s="1">
        <v>1.2731481481481482E-5</v>
      </c>
      <c r="G120" t="s">
        <v>16</v>
      </c>
      <c r="H120">
        <v>3</v>
      </c>
      <c r="I120">
        <v>101</v>
      </c>
      <c r="J120">
        <v>104</v>
      </c>
      <c r="L120" t="s">
        <v>17</v>
      </c>
      <c r="M120" s="3">
        <f t="shared" si="28"/>
        <v>1.1350000044330955</v>
      </c>
    </row>
    <row r="121" spans="1:13" x14ac:dyDescent="0.25">
      <c r="A121" t="s">
        <v>200</v>
      </c>
      <c r="B121">
        <v>10</v>
      </c>
      <c r="C121" t="s">
        <v>57</v>
      </c>
      <c r="D121" t="s">
        <v>569</v>
      </c>
      <c r="E121" t="s">
        <v>570</v>
      </c>
      <c r="F121" s="1">
        <v>2.3148148148148147E-5</v>
      </c>
      <c r="G121" t="s">
        <v>16</v>
      </c>
      <c r="H121">
        <v>3</v>
      </c>
      <c r="I121">
        <v>101</v>
      </c>
      <c r="J121">
        <v>104</v>
      </c>
      <c r="L121" t="s">
        <v>17</v>
      </c>
      <c r="M121" s="3">
        <f t="shared" si="28"/>
        <v>1.0990001494064927</v>
      </c>
    </row>
    <row r="122" spans="1:13" x14ac:dyDescent="0.25">
      <c r="A122" t="s">
        <v>261</v>
      </c>
      <c r="B122">
        <v>1</v>
      </c>
      <c r="C122" t="s">
        <v>13</v>
      </c>
      <c r="D122" t="s">
        <v>571</v>
      </c>
      <c r="E122" t="s">
        <v>572</v>
      </c>
      <c r="F122" s="1">
        <v>2.0833333333333333E-5</v>
      </c>
      <c r="G122" t="s">
        <v>16</v>
      </c>
      <c r="H122">
        <v>3</v>
      </c>
      <c r="I122">
        <v>91</v>
      </c>
      <c r="J122">
        <v>94</v>
      </c>
      <c r="L122" t="s">
        <v>17</v>
      </c>
      <c r="M122" s="3">
        <f t="shared" si="28"/>
        <v>1.8049998907372355</v>
      </c>
    </row>
    <row r="123" spans="1:13" x14ac:dyDescent="0.25">
      <c r="A123" t="s">
        <v>261</v>
      </c>
      <c r="B123">
        <v>2</v>
      </c>
      <c r="C123" t="s">
        <v>13</v>
      </c>
      <c r="D123" t="s">
        <v>573</v>
      </c>
      <c r="E123" t="s">
        <v>574</v>
      </c>
      <c r="F123" s="1">
        <v>1.6203703703703704E-5</v>
      </c>
      <c r="G123" t="s">
        <v>16</v>
      </c>
      <c r="H123">
        <v>3</v>
      </c>
      <c r="I123">
        <v>91</v>
      </c>
      <c r="J123">
        <v>94</v>
      </c>
      <c r="L123" t="s">
        <v>17</v>
      </c>
      <c r="M123" s="3">
        <f t="shared" si="28"/>
        <v>1.4439999125897884</v>
      </c>
    </row>
    <row r="124" spans="1:13" x14ac:dyDescent="0.25">
      <c r="A124" t="s">
        <v>261</v>
      </c>
      <c r="B124">
        <v>3</v>
      </c>
      <c r="C124" t="s">
        <v>13</v>
      </c>
      <c r="D124" t="s">
        <v>575</v>
      </c>
      <c r="E124" t="s">
        <v>576</v>
      </c>
      <c r="F124" s="1">
        <v>1.7361111111111111E-5</v>
      </c>
      <c r="G124" t="s">
        <v>16</v>
      </c>
      <c r="H124">
        <v>3</v>
      </c>
      <c r="I124">
        <v>91</v>
      </c>
      <c r="J124">
        <v>94</v>
      </c>
      <c r="L124" t="s">
        <v>17</v>
      </c>
      <c r="M124" s="3">
        <f t="shared" si="28"/>
        <v>1.5439999988302588</v>
      </c>
    </row>
    <row r="125" spans="1:13" x14ac:dyDescent="0.25">
      <c r="A125" t="s">
        <v>261</v>
      </c>
      <c r="B125">
        <v>4</v>
      </c>
      <c r="C125" t="s">
        <v>13</v>
      </c>
      <c r="D125" t="s">
        <v>577</v>
      </c>
      <c r="E125" t="s">
        <v>578</v>
      </c>
      <c r="F125" s="1">
        <v>1.6203703703703704E-5</v>
      </c>
      <c r="G125" t="s">
        <v>16</v>
      </c>
      <c r="H125">
        <v>3</v>
      </c>
      <c r="I125">
        <v>91</v>
      </c>
      <c r="J125">
        <v>94</v>
      </c>
      <c r="L125" t="s">
        <v>17</v>
      </c>
      <c r="M125" s="3">
        <f t="shared" si="28"/>
        <v>1.4410000294446945</v>
      </c>
    </row>
    <row r="126" spans="1:13" x14ac:dyDescent="0.25">
      <c r="A126" t="s">
        <v>261</v>
      </c>
      <c r="B126">
        <v>5</v>
      </c>
      <c r="C126" t="s">
        <v>13</v>
      </c>
      <c r="D126" t="s">
        <v>579</v>
      </c>
      <c r="E126" t="s">
        <v>580</v>
      </c>
      <c r="F126" s="1">
        <v>2.0833333333333333E-5</v>
      </c>
      <c r="G126" t="s">
        <v>16</v>
      </c>
      <c r="H126">
        <v>3</v>
      </c>
      <c r="I126">
        <v>91</v>
      </c>
      <c r="J126">
        <v>94</v>
      </c>
      <c r="L126" t="s">
        <v>17</v>
      </c>
      <c r="M126" s="3">
        <f t="shared" si="28"/>
        <v>1.7960002413019538</v>
      </c>
    </row>
    <row r="127" spans="1:13" x14ac:dyDescent="0.25">
      <c r="A127" t="s">
        <v>261</v>
      </c>
      <c r="B127">
        <v>6</v>
      </c>
      <c r="C127" t="s">
        <v>13</v>
      </c>
      <c r="D127" t="s">
        <v>581</v>
      </c>
      <c r="E127" t="s">
        <v>582</v>
      </c>
      <c r="F127" s="1">
        <v>1.6203703703703704E-5</v>
      </c>
      <c r="G127" t="s">
        <v>16</v>
      </c>
      <c r="H127">
        <v>3</v>
      </c>
      <c r="I127">
        <v>91</v>
      </c>
      <c r="J127">
        <v>94</v>
      </c>
      <c r="L127" t="s">
        <v>17</v>
      </c>
      <c r="M127" s="3">
        <f t="shared" si="28"/>
        <v>1.4159995364025235</v>
      </c>
    </row>
    <row r="128" spans="1:13" x14ac:dyDescent="0.25">
      <c r="A128" t="s">
        <v>261</v>
      </c>
      <c r="B128">
        <v>7</v>
      </c>
      <c r="C128" t="s">
        <v>13</v>
      </c>
      <c r="D128" t="s">
        <v>583</v>
      </c>
      <c r="E128" t="s">
        <v>584</v>
      </c>
      <c r="F128" s="1">
        <v>2.0833333333333333E-5</v>
      </c>
      <c r="G128" t="s">
        <v>16</v>
      </c>
      <c r="H128">
        <v>3</v>
      </c>
      <c r="I128">
        <v>91</v>
      </c>
      <c r="J128">
        <v>94</v>
      </c>
      <c r="L128" t="s">
        <v>17</v>
      </c>
      <c r="M128" s="3">
        <f t="shared" si="28"/>
        <v>1.791000016964972</v>
      </c>
    </row>
    <row r="129" spans="1:13" x14ac:dyDescent="0.25">
      <c r="A129" t="s">
        <v>261</v>
      </c>
      <c r="B129">
        <v>8</v>
      </c>
      <c r="C129" t="s">
        <v>13</v>
      </c>
      <c r="D129" t="s">
        <v>585</v>
      </c>
      <c r="E129" t="s">
        <v>586</v>
      </c>
      <c r="F129" s="1">
        <v>1.7361111111111111E-5</v>
      </c>
      <c r="G129" t="s">
        <v>16</v>
      </c>
      <c r="H129">
        <v>3</v>
      </c>
      <c r="I129">
        <v>91</v>
      </c>
      <c r="J129">
        <v>94</v>
      </c>
      <c r="L129" t="s">
        <v>17</v>
      </c>
      <c r="M129" s="3">
        <f t="shared" si="28"/>
        <v>1.4710001181811094</v>
      </c>
    </row>
    <row r="130" spans="1:13" x14ac:dyDescent="0.25">
      <c r="A130" t="s">
        <v>261</v>
      </c>
      <c r="B130">
        <v>9</v>
      </c>
      <c r="C130" t="s">
        <v>13</v>
      </c>
      <c r="D130" t="s">
        <v>587</v>
      </c>
      <c r="E130" t="s">
        <v>588</v>
      </c>
      <c r="F130" s="1">
        <v>1.7361111111111111E-5</v>
      </c>
      <c r="G130" t="s">
        <v>16</v>
      </c>
      <c r="H130">
        <v>3</v>
      </c>
      <c r="I130">
        <v>91</v>
      </c>
      <c r="J130">
        <v>94</v>
      </c>
      <c r="L130" t="s">
        <v>17</v>
      </c>
      <c r="M130" s="3">
        <f t="shared" si="28"/>
        <v>1.4680002350360155</v>
      </c>
    </row>
    <row r="131" spans="1:13" x14ac:dyDescent="0.25">
      <c r="A131" t="s">
        <v>261</v>
      </c>
      <c r="B131">
        <v>10</v>
      </c>
      <c r="C131" t="s">
        <v>13</v>
      </c>
      <c r="D131" t="s">
        <v>589</v>
      </c>
      <c r="E131" t="s">
        <v>590</v>
      </c>
      <c r="F131" s="1">
        <v>1.7361111111111111E-5</v>
      </c>
      <c r="G131" t="s">
        <v>16</v>
      </c>
      <c r="H131">
        <v>3</v>
      </c>
      <c r="I131">
        <v>91</v>
      </c>
      <c r="J131">
        <v>94</v>
      </c>
      <c r="L131" t="s">
        <v>17</v>
      </c>
      <c r="M131" s="3">
        <f t="shared" ref="M131:M194" si="29">(SUBSTITUTE(LEFT(E131,23),"T"," ")-SUBSTITUTE(LEFT(D131,23),"T"," "))*86400</f>
        <v>1.4980003237724304</v>
      </c>
    </row>
    <row r="132" spans="1:13" x14ac:dyDescent="0.25">
      <c r="A132" t="s">
        <v>261</v>
      </c>
      <c r="B132">
        <v>1</v>
      </c>
      <c r="C132" t="s">
        <v>36</v>
      </c>
      <c r="D132" t="s">
        <v>591</v>
      </c>
      <c r="E132" t="s">
        <v>592</v>
      </c>
      <c r="F132" s="1">
        <v>1.6203703703703704E-5</v>
      </c>
      <c r="G132" t="s">
        <v>16</v>
      </c>
      <c r="H132">
        <v>3</v>
      </c>
      <c r="I132">
        <v>164</v>
      </c>
      <c r="J132">
        <v>167</v>
      </c>
      <c r="L132" t="s">
        <v>17</v>
      </c>
      <c r="M132" s="3">
        <f t="shared" si="29"/>
        <v>1.425000443123281</v>
      </c>
    </row>
    <row r="133" spans="1:13" x14ac:dyDescent="0.25">
      <c r="A133" t="s">
        <v>261</v>
      </c>
      <c r="B133">
        <v>2</v>
      </c>
      <c r="C133" t="s">
        <v>36</v>
      </c>
      <c r="D133" t="s">
        <v>593</v>
      </c>
      <c r="E133" t="s">
        <v>594</v>
      </c>
      <c r="F133" s="1">
        <v>1.6203703703703704E-5</v>
      </c>
      <c r="G133" t="s">
        <v>16</v>
      </c>
      <c r="H133">
        <v>3</v>
      </c>
      <c r="I133">
        <v>164</v>
      </c>
      <c r="J133">
        <v>167</v>
      </c>
      <c r="L133" t="s">
        <v>17</v>
      </c>
      <c r="M133" s="3">
        <f t="shared" si="29"/>
        <v>1.3959998963400722</v>
      </c>
    </row>
    <row r="134" spans="1:13" x14ac:dyDescent="0.25">
      <c r="A134" t="s">
        <v>261</v>
      </c>
      <c r="B134">
        <v>3</v>
      </c>
      <c r="C134" t="s">
        <v>36</v>
      </c>
      <c r="D134" t="s">
        <v>595</v>
      </c>
      <c r="E134" t="s">
        <v>596</v>
      </c>
      <c r="F134" s="1">
        <v>1.6203703703703704E-5</v>
      </c>
      <c r="G134" t="s">
        <v>16</v>
      </c>
      <c r="H134">
        <v>3</v>
      </c>
      <c r="I134">
        <v>164</v>
      </c>
      <c r="J134">
        <v>167</v>
      </c>
      <c r="L134" t="s">
        <v>17</v>
      </c>
      <c r="M134" s="3">
        <f t="shared" si="29"/>
        <v>1.4399998588487506</v>
      </c>
    </row>
    <row r="135" spans="1:13" x14ac:dyDescent="0.25">
      <c r="A135" t="s">
        <v>261</v>
      </c>
      <c r="B135">
        <v>4</v>
      </c>
      <c r="C135" t="s">
        <v>36</v>
      </c>
      <c r="D135" t="s">
        <v>597</v>
      </c>
      <c r="E135" t="s">
        <v>598</v>
      </c>
      <c r="F135" s="1">
        <v>1.6203703703703704E-5</v>
      </c>
      <c r="G135" t="s">
        <v>16</v>
      </c>
      <c r="H135">
        <v>3</v>
      </c>
      <c r="I135">
        <v>164</v>
      </c>
      <c r="J135">
        <v>167</v>
      </c>
      <c r="L135" t="s">
        <v>17</v>
      </c>
      <c r="M135" s="3">
        <f t="shared" si="29"/>
        <v>1.4209997607395053</v>
      </c>
    </row>
    <row r="136" spans="1:13" x14ac:dyDescent="0.25">
      <c r="A136" t="s">
        <v>261</v>
      </c>
      <c r="B136">
        <v>5</v>
      </c>
      <c r="C136" t="s">
        <v>36</v>
      </c>
      <c r="D136" t="s">
        <v>599</v>
      </c>
      <c r="E136" t="s">
        <v>600</v>
      </c>
      <c r="F136" s="1">
        <v>2.0833333333333333E-5</v>
      </c>
      <c r="G136" t="s">
        <v>16</v>
      </c>
      <c r="H136">
        <v>3</v>
      </c>
      <c r="I136">
        <v>164</v>
      </c>
      <c r="J136">
        <v>167</v>
      </c>
      <c r="L136" t="s">
        <v>17</v>
      </c>
      <c r="M136" s="3">
        <f t="shared" si="29"/>
        <v>1.7730000894516706</v>
      </c>
    </row>
    <row r="137" spans="1:13" x14ac:dyDescent="0.25">
      <c r="A137" t="s">
        <v>261</v>
      </c>
      <c r="B137">
        <v>6</v>
      </c>
      <c r="C137" t="s">
        <v>36</v>
      </c>
      <c r="D137" t="s">
        <v>601</v>
      </c>
      <c r="E137" t="s">
        <v>602</v>
      </c>
      <c r="F137" s="1">
        <v>2.199074074074074E-5</v>
      </c>
      <c r="G137" t="s">
        <v>16</v>
      </c>
      <c r="H137">
        <v>3</v>
      </c>
      <c r="I137">
        <v>164</v>
      </c>
      <c r="J137">
        <v>167</v>
      </c>
      <c r="L137" t="s">
        <v>17</v>
      </c>
      <c r="M137" s="3">
        <f t="shared" si="29"/>
        <v>1.8700002925470471</v>
      </c>
    </row>
    <row r="138" spans="1:13" x14ac:dyDescent="0.25">
      <c r="A138" t="s">
        <v>261</v>
      </c>
      <c r="B138">
        <v>7</v>
      </c>
      <c r="C138" t="s">
        <v>36</v>
      </c>
      <c r="D138" t="s">
        <v>603</v>
      </c>
      <c r="E138" t="s">
        <v>604</v>
      </c>
      <c r="F138" s="1">
        <v>2.4305555555555558E-5</v>
      </c>
      <c r="G138" t="s">
        <v>16</v>
      </c>
      <c r="H138">
        <v>3</v>
      </c>
      <c r="I138">
        <v>164</v>
      </c>
      <c r="J138">
        <v>167</v>
      </c>
      <c r="L138" t="s">
        <v>17</v>
      </c>
      <c r="M138" s="3">
        <f t="shared" si="29"/>
        <v>2.1099997451528907</v>
      </c>
    </row>
    <row r="139" spans="1:13" x14ac:dyDescent="0.25">
      <c r="A139" t="s">
        <v>261</v>
      </c>
      <c r="B139">
        <v>8</v>
      </c>
      <c r="C139" t="s">
        <v>36</v>
      </c>
      <c r="D139" t="s">
        <v>605</v>
      </c>
      <c r="E139" t="s">
        <v>606</v>
      </c>
      <c r="F139" s="1">
        <v>1.6203703703703704E-5</v>
      </c>
      <c r="G139" t="s">
        <v>16</v>
      </c>
      <c r="H139">
        <v>3</v>
      </c>
      <c r="I139">
        <v>164</v>
      </c>
      <c r="J139">
        <v>167</v>
      </c>
      <c r="L139" t="s">
        <v>17</v>
      </c>
      <c r="M139" s="3">
        <f t="shared" si="29"/>
        <v>1.3600000413134694</v>
      </c>
    </row>
    <row r="140" spans="1:13" x14ac:dyDescent="0.25">
      <c r="A140" t="s">
        <v>261</v>
      </c>
      <c r="B140">
        <v>9</v>
      </c>
      <c r="C140" t="s">
        <v>36</v>
      </c>
      <c r="D140" t="s">
        <v>607</v>
      </c>
      <c r="E140" t="s">
        <v>608</v>
      </c>
      <c r="F140" s="1">
        <v>1.5046296296296297E-5</v>
      </c>
      <c r="G140" t="s">
        <v>16</v>
      </c>
      <c r="H140">
        <v>3</v>
      </c>
      <c r="I140">
        <v>164</v>
      </c>
      <c r="J140">
        <v>167</v>
      </c>
      <c r="L140" t="s">
        <v>17</v>
      </c>
      <c r="M140" s="3">
        <f t="shared" si="29"/>
        <v>1.2830001069232821</v>
      </c>
    </row>
    <row r="141" spans="1:13" x14ac:dyDescent="0.25">
      <c r="A141" t="s">
        <v>261</v>
      </c>
      <c r="B141">
        <v>10</v>
      </c>
      <c r="C141" t="s">
        <v>36</v>
      </c>
      <c r="D141" t="s">
        <v>609</v>
      </c>
      <c r="E141" t="s">
        <v>610</v>
      </c>
      <c r="F141" s="1">
        <v>1.3888888888888888E-5</v>
      </c>
      <c r="G141" t="s">
        <v>16</v>
      </c>
      <c r="H141">
        <v>3</v>
      </c>
      <c r="I141">
        <v>164</v>
      </c>
      <c r="J141">
        <v>167</v>
      </c>
      <c r="L141" t="s">
        <v>17</v>
      </c>
      <c r="M141" s="3">
        <f t="shared" si="29"/>
        <v>1.1879996163770556</v>
      </c>
    </row>
    <row r="142" spans="1:13" x14ac:dyDescent="0.25">
      <c r="A142" t="s">
        <v>261</v>
      </c>
      <c r="B142">
        <v>1</v>
      </c>
      <c r="C142" t="s">
        <v>57</v>
      </c>
      <c r="D142" t="s">
        <v>611</v>
      </c>
      <c r="E142" t="s">
        <v>612</v>
      </c>
      <c r="F142" s="1">
        <v>3.2407407407407408E-5</v>
      </c>
      <c r="G142" t="s">
        <v>16</v>
      </c>
      <c r="H142">
        <v>3</v>
      </c>
      <c r="I142">
        <v>125</v>
      </c>
      <c r="J142">
        <v>128</v>
      </c>
      <c r="L142" t="s">
        <v>17</v>
      </c>
      <c r="M142" s="3">
        <f t="shared" si="29"/>
        <v>2.8479999164119363</v>
      </c>
    </row>
    <row r="143" spans="1:13" x14ac:dyDescent="0.25">
      <c r="A143" t="s">
        <v>261</v>
      </c>
      <c r="B143">
        <v>2</v>
      </c>
      <c r="C143" t="s">
        <v>57</v>
      </c>
      <c r="D143" t="s">
        <v>613</v>
      </c>
      <c r="E143" t="s">
        <v>614</v>
      </c>
      <c r="F143" s="1">
        <v>2.0833333333333333E-5</v>
      </c>
      <c r="G143" t="s">
        <v>16</v>
      </c>
      <c r="H143">
        <v>3</v>
      </c>
      <c r="I143">
        <v>125</v>
      </c>
      <c r="J143">
        <v>128</v>
      </c>
      <c r="L143" t="s">
        <v>17</v>
      </c>
      <c r="M143" s="3">
        <f t="shared" si="29"/>
        <v>1.8140001688152552</v>
      </c>
    </row>
    <row r="144" spans="1:13" x14ac:dyDescent="0.25">
      <c r="A144" t="s">
        <v>261</v>
      </c>
      <c r="B144">
        <v>3</v>
      </c>
      <c r="C144" t="s">
        <v>57</v>
      </c>
      <c r="D144" t="s">
        <v>615</v>
      </c>
      <c r="E144" t="s">
        <v>616</v>
      </c>
      <c r="F144" s="1">
        <v>3.7037037037037037E-5</v>
      </c>
      <c r="G144" t="s">
        <v>16</v>
      </c>
      <c r="H144">
        <v>3</v>
      </c>
      <c r="I144">
        <v>125</v>
      </c>
      <c r="J144">
        <v>128</v>
      </c>
      <c r="L144" t="s">
        <v>17</v>
      </c>
      <c r="M144" s="3">
        <f t="shared" si="29"/>
        <v>3.164999932050705</v>
      </c>
    </row>
    <row r="145" spans="1:13" x14ac:dyDescent="0.25">
      <c r="A145" t="s">
        <v>261</v>
      </c>
      <c r="B145">
        <v>4</v>
      </c>
      <c r="C145" t="s">
        <v>57</v>
      </c>
      <c r="D145" t="s">
        <v>617</v>
      </c>
      <c r="E145" t="s">
        <v>618</v>
      </c>
      <c r="F145" s="1">
        <v>4.2824074074074079E-5</v>
      </c>
      <c r="G145" t="s">
        <v>16</v>
      </c>
      <c r="H145">
        <v>3</v>
      </c>
      <c r="I145">
        <v>125</v>
      </c>
      <c r="J145">
        <v>128</v>
      </c>
      <c r="L145" t="s">
        <v>17</v>
      </c>
      <c r="M145" s="3">
        <f t="shared" si="29"/>
        <v>3.697999706491828</v>
      </c>
    </row>
    <row r="146" spans="1:13" x14ac:dyDescent="0.25">
      <c r="A146" t="s">
        <v>261</v>
      </c>
      <c r="B146">
        <v>5</v>
      </c>
      <c r="C146" t="s">
        <v>57</v>
      </c>
      <c r="D146" t="s">
        <v>619</v>
      </c>
      <c r="E146" t="s">
        <v>620</v>
      </c>
      <c r="F146" s="1">
        <v>2.0833333333333333E-5</v>
      </c>
      <c r="G146" t="s">
        <v>16</v>
      </c>
      <c r="H146">
        <v>3</v>
      </c>
      <c r="I146">
        <v>125</v>
      </c>
      <c r="J146">
        <v>128</v>
      </c>
      <c r="L146" t="s">
        <v>17</v>
      </c>
      <c r="M146" s="3">
        <f t="shared" si="29"/>
        <v>1.764999981969595</v>
      </c>
    </row>
    <row r="147" spans="1:13" x14ac:dyDescent="0.25">
      <c r="A147" t="s">
        <v>261</v>
      </c>
      <c r="B147">
        <v>6</v>
      </c>
      <c r="C147" t="s">
        <v>57</v>
      </c>
      <c r="D147" t="s">
        <v>621</v>
      </c>
      <c r="E147" t="s">
        <v>622</v>
      </c>
      <c r="F147" s="1">
        <v>2.199074074074074E-5</v>
      </c>
      <c r="G147" t="s">
        <v>16</v>
      </c>
      <c r="H147">
        <v>3</v>
      </c>
      <c r="I147">
        <v>125</v>
      </c>
      <c r="J147">
        <v>128</v>
      </c>
      <c r="L147" t="s">
        <v>17</v>
      </c>
      <c r="M147" s="3">
        <f t="shared" si="29"/>
        <v>1.8710004631429911</v>
      </c>
    </row>
    <row r="148" spans="1:13" x14ac:dyDescent="0.25">
      <c r="A148" t="s">
        <v>261</v>
      </c>
      <c r="B148">
        <v>7</v>
      </c>
      <c r="C148" t="s">
        <v>57</v>
      </c>
      <c r="D148" t="s">
        <v>623</v>
      </c>
      <c r="E148" t="s">
        <v>624</v>
      </c>
      <c r="F148" s="1">
        <v>1.9675925925925925E-5</v>
      </c>
      <c r="G148" t="s">
        <v>16</v>
      </c>
      <c r="H148">
        <v>3</v>
      </c>
      <c r="I148">
        <v>125</v>
      </c>
      <c r="J148">
        <v>128</v>
      </c>
      <c r="L148" t="s">
        <v>17</v>
      </c>
      <c r="M148" s="3">
        <f t="shared" si="29"/>
        <v>1.7409996595233679</v>
      </c>
    </row>
    <row r="149" spans="1:13" x14ac:dyDescent="0.25">
      <c r="A149" t="s">
        <v>261</v>
      </c>
      <c r="B149">
        <v>8</v>
      </c>
      <c r="C149" t="s">
        <v>57</v>
      </c>
      <c r="D149" t="s">
        <v>625</v>
      </c>
      <c r="E149" t="s">
        <v>626</v>
      </c>
      <c r="F149" s="1">
        <v>1.6203703703703704E-5</v>
      </c>
      <c r="G149" t="s">
        <v>16</v>
      </c>
      <c r="H149">
        <v>3</v>
      </c>
      <c r="I149">
        <v>125</v>
      </c>
      <c r="J149">
        <v>128</v>
      </c>
      <c r="L149" t="s">
        <v>17</v>
      </c>
      <c r="M149" s="3">
        <f t="shared" si="29"/>
        <v>1.4020002912729979</v>
      </c>
    </row>
    <row r="150" spans="1:13" x14ac:dyDescent="0.25">
      <c r="A150" t="s">
        <v>261</v>
      </c>
      <c r="B150">
        <v>9</v>
      </c>
      <c r="C150" t="s">
        <v>57</v>
      </c>
      <c r="D150" t="s">
        <v>627</v>
      </c>
      <c r="E150" t="s">
        <v>628</v>
      </c>
      <c r="F150" s="1">
        <v>1.3888888888888888E-5</v>
      </c>
      <c r="G150" t="s">
        <v>16</v>
      </c>
      <c r="H150">
        <v>3</v>
      </c>
      <c r="I150">
        <v>125</v>
      </c>
      <c r="J150">
        <v>128</v>
      </c>
      <c r="L150" t="s">
        <v>17</v>
      </c>
      <c r="M150" s="3">
        <f t="shared" si="29"/>
        <v>1.1950001819059253</v>
      </c>
    </row>
    <row r="151" spans="1:13" x14ac:dyDescent="0.25">
      <c r="A151" t="s">
        <v>261</v>
      </c>
      <c r="B151">
        <v>10</v>
      </c>
      <c r="C151" t="s">
        <v>57</v>
      </c>
      <c r="D151" t="s">
        <v>629</v>
      </c>
      <c r="E151" t="s">
        <v>630</v>
      </c>
      <c r="F151" s="1">
        <v>2.0833333333333333E-5</v>
      </c>
      <c r="G151" t="s">
        <v>16</v>
      </c>
      <c r="H151">
        <v>3</v>
      </c>
      <c r="I151">
        <v>125</v>
      </c>
      <c r="J151">
        <v>128</v>
      </c>
      <c r="L151" t="s">
        <v>17</v>
      </c>
      <c r="M151" s="3">
        <f t="shared" si="29"/>
        <v>1.8159998813644052</v>
      </c>
    </row>
    <row r="152" spans="1:13" x14ac:dyDescent="0.25">
      <c r="A152" t="s">
        <v>12</v>
      </c>
      <c r="B152">
        <v>1</v>
      </c>
      <c r="C152" t="s">
        <v>13</v>
      </c>
      <c r="D152" t="s">
        <v>14</v>
      </c>
      <c r="E152" t="s">
        <v>15</v>
      </c>
      <c r="F152" s="1">
        <v>1.5046296296296297E-5</v>
      </c>
      <c r="G152" t="s">
        <v>16</v>
      </c>
      <c r="H152">
        <v>5</v>
      </c>
      <c r="I152">
        <v>81</v>
      </c>
      <c r="J152">
        <v>86</v>
      </c>
      <c r="L152" t="s">
        <v>17</v>
      </c>
      <c r="M152" s="3">
        <f t="shared" si="29"/>
        <v>1.2640000088140368</v>
      </c>
    </row>
    <row r="153" spans="1:13" x14ac:dyDescent="0.25">
      <c r="A153" t="s">
        <v>12</v>
      </c>
      <c r="B153">
        <v>2</v>
      </c>
      <c r="C153" t="s">
        <v>13</v>
      </c>
      <c r="D153" t="s">
        <v>18</v>
      </c>
      <c r="E153" t="s">
        <v>19</v>
      </c>
      <c r="F153" s="1">
        <v>1.8518518518518518E-5</v>
      </c>
      <c r="G153" t="s">
        <v>16</v>
      </c>
      <c r="H153">
        <v>5</v>
      </c>
      <c r="I153">
        <v>81</v>
      </c>
      <c r="J153">
        <v>86</v>
      </c>
      <c r="L153" t="s">
        <v>17</v>
      </c>
      <c r="M153" s="3">
        <f t="shared" si="29"/>
        <v>1.0609999531880021</v>
      </c>
    </row>
    <row r="154" spans="1:13" x14ac:dyDescent="0.25">
      <c r="A154" t="s">
        <v>12</v>
      </c>
      <c r="B154">
        <v>3</v>
      </c>
      <c r="C154" t="s">
        <v>13</v>
      </c>
      <c r="D154" t="s">
        <v>20</v>
      </c>
      <c r="E154" t="s">
        <v>21</v>
      </c>
      <c r="F154" s="1">
        <v>1.7361111111111111E-5</v>
      </c>
      <c r="G154" t="s">
        <v>16</v>
      </c>
      <c r="H154">
        <v>5</v>
      </c>
      <c r="I154">
        <v>81</v>
      </c>
      <c r="J154">
        <v>86</v>
      </c>
      <c r="L154" t="s">
        <v>17</v>
      </c>
      <c r="M154" s="3">
        <f t="shared" si="29"/>
        <v>1.0499999625608325</v>
      </c>
    </row>
    <row r="155" spans="1:13" x14ac:dyDescent="0.25">
      <c r="A155" t="s">
        <v>12</v>
      </c>
      <c r="B155">
        <v>4</v>
      </c>
      <c r="C155" t="s">
        <v>13</v>
      </c>
      <c r="D155" t="s">
        <v>22</v>
      </c>
      <c r="E155" t="s">
        <v>23</v>
      </c>
      <c r="F155" s="1">
        <v>1.9675925925925925E-5</v>
      </c>
      <c r="G155" t="s">
        <v>16</v>
      </c>
      <c r="H155">
        <v>5</v>
      </c>
      <c r="I155">
        <v>81</v>
      </c>
      <c r="J155">
        <v>86</v>
      </c>
      <c r="L155" t="s">
        <v>17</v>
      </c>
      <c r="M155" s="3">
        <f t="shared" si="29"/>
        <v>1.0069995420053601</v>
      </c>
    </row>
    <row r="156" spans="1:13" x14ac:dyDescent="0.25">
      <c r="A156" t="s">
        <v>12</v>
      </c>
      <c r="B156">
        <v>5</v>
      </c>
      <c r="C156" t="s">
        <v>13</v>
      </c>
      <c r="D156" t="s">
        <v>24</v>
      </c>
      <c r="E156" t="s">
        <v>25</v>
      </c>
      <c r="F156" s="1">
        <v>1.5046296296296297E-5</v>
      </c>
      <c r="G156" t="s">
        <v>16</v>
      </c>
      <c r="H156">
        <v>5</v>
      </c>
      <c r="I156">
        <v>81</v>
      </c>
      <c r="J156">
        <v>86</v>
      </c>
      <c r="L156" t="s">
        <v>17</v>
      </c>
      <c r="M156" s="3">
        <f t="shared" si="29"/>
        <v>1.0310004930943251</v>
      </c>
    </row>
    <row r="157" spans="1:13" x14ac:dyDescent="0.25">
      <c r="A157" t="s">
        <v>12</v>
      </c>
      <c r="B157">
        <v>6</v>
      </c>
      <c r="C157" t="s">
        <v>13</v>
      </c>
      <c r="D157" t="s">
        <v>26</v>
      </c>
      <c r="E157" t="s">
        <v>27</v>
      </c>
      <c r="F157" s="1">
        <v>1.2731481481481482E-5</v>
      </c>
      <c r="G157" t="s">
        <v>16</v>
      </c>
      <c r="H157">
        <v>5</v>
      </c>
      <c r="I157">
        <v>81</v>
      </c>
      <c r="J157">
        <v>86</v>
      </c>
      <c r="L157" t="s">
        <v>17</v>
      </c>
      <c r="M157" s="3">
        <f t="shared" si="29"/>
        <v>1.0120003949850798</v>
      </c>
    </row>
    <row r="158" spans="1:13" x14ac:dyDescent="0.25">
      <c r="A158" t="s">
        <v>12</v>
      </c>
      <c r="B158">
        <v>7</v>
      </c>
      <c r="C158" t="s">
        <v>13</v>
      </c>
      <c r="D158" t="s">
        <v>28</v>
      </c>
      <c r="E158" t="s">
        <v>29</v>
      </c>
      <c r="F158" s="1">
        <v>1.7361111111111111E-5</v>
      </c>
      <c r="G158" t="s">
        <v>16</v>
      </c>
      <c r="H158">
        <v>5</v>
      </c>
      <c r="I158">
        <v>81</v>
      </c>
      <c r="J158">
        <v>86</v>
      </c>
      <c r="L158" t="s">
        <v>17</v>
      </c>
      <c r="M158" s="3">
        <f t="shared" si="29"/>
        <v>1.0499999625608325</v>
      </c>
    </row>
    <row r="159" spans="1:13" x14ac:dyDescent="0.25">
      <c r="A159" t="s">
        <v>12</v>
      </c>
      <c r="B159">
        <v>8</v>
      </c>
      <c r="C159" t="s">
        <v>13</v>
      </c>
      <c r="D159" t="s">
        <v>30</v>
      </c>
      <c r="E159" t="s">
        <v>31</v>
      </c>
      <c r="F159" s="1">
        <v>1.1574074074074073E-5</v>
      </c>
      <c r="G159" t="s">
        <v>16</v>
      </c>
      <c r="H159">
        <v>5</v>
      </c>
      <c r="I159">
        <v>81</v>
      </c>
      <c r="J159">
        <v>86</v>
      </c>
      <c r="L159" t="s">
        <v>17</v>
      </c>
      <c r="M159" s="3">
        <f t="shared" si="29"/>
        <v>0.99800052121281624</v>
      </c>
    </row>
    <row r="160" spans="1:13" x14ac:dyDescent="0.25">
      <c r="A160" t="s">
        <v>12</v>
      </c>
      <c r="B160">
        <v>9</v>
      </c>
      <c r="C160" t="s">
        <v>13</v>
      </c>
      <c r="D160" t="s">
        <v>32</v>
      </c>
      <c r="E160" t="s">
        <v>33</v>
      </c>
      <c r="F160" s="1">
        <v>1.6203703703703704E-5</v>
      </c>
      <c r="G160" t="s">
        <v>16</v>
      </c>
      <c r="H160">
        <v>5</v>
      </c>
      <c r="I160">
        <v>81</v>
      </c>
      <c r="J160">
        <v>86</v>
      </c>
      <c r="L160" t="s">
        <v>17</v>
      </c>
      <c r="M160" s="3">
        <f t="shared" si="29"/>
        <v>1.0400001425296068</v>
      </c>
    </row>
    <row r="161" spans="1:13" x14ac:dyDescent="0.25">
      <c r="A161" t="s">
        <v>12</v>
      </c>
      <c r="B161">
        <v>10</v>
      </c>
      <c r="C161" t="s">
        <v>13</v>
      </c>
      <c r="D161" t="s">
        <v>34</v>
      </c>
      <c r="E161" t="s">
        <v>35</v>
      </c>
      <c r="F161" s="1">
        <v>1.7361111111111111E-5</v>
      </c>
      <c r="G161" t="s">
        <v>16</v>
      </c>
      <c r="H161">
        <v>5</v>
      </c>
      <c r="I161">
        <v>81</v>
      </c>
      <c r="J161">
        <v>86</v>
      </c>
      <c r="L161" t="s">
        <v>17</v>
      </c>
      <c r="M161" s="3">
        <f t="shared" si="29"/>
        <v>1.0540000163018703</v>
      </c>
    </row>
    <row r="162" spans="1:13" x14ac:dyDescent="0.25">
      <c r="A162" t="s">
        <v>12</v>
      </c>
      <c r="B162">
        <v>1</v>
      </c>
      <c r="C162" t="s">
        <v>36</v>
      </c>
      <c r="D162" t="s">
        <v>37</v>
      </c>
      <c r="E162" t="s">
        <v>38</v>
      </c>
      <c r="F162" s="1">
        <v>1.5046296296296297E-5</v>
      </c>
      <c r="G162" t="s">
        <v>16</v>
      </c>
      <c r="H162">
        <v>5</v>
      </c>
      <c r="I162">
        <v>173</v>
      </c>
      <c r="J162">
        <v>178</v>
      </c>
      <c r="L162" t="s">
        <v>17</v>
      </c>
      <c r="M162" s="3">
        <f t="shared" si="29"/>
        <v>1.3239995576441288</v>
      </c>
    </row>
    <row r="163" spans="1:13" x14ac:dyDescent="0.25">
      <c r="A163" t="s">
        <v>12</v>
      </c>
      <c r="B163">
        <v>2</v>
      </c>
      <c r="C163" t="s">
        <v>36</v>
      </c>
      <c r="D163" t="s">
        <v>39</v>
      </c>
      <c r="E163" t="s">
        <v>40</v>
      </c>
      <c r="F163" s="1">
        <v>1.2731481481481482E-5</v>
      </c>
      <c r="G163" t="s">
        <v>16</v>
      </c>
      <c r="H163">
        <v>5</v>
      </c>
      <c r="I163">
        <v>173</v>
      </c>
      <c r="J163">
        <v>178</v>
      </c>
      <c r="L163" t="s">
        <v>17</v>
      </c>
      <c r="M163" s="3">
        <f t="shared" si="29"/>
        <v>1.121999672614038</v>
      </c>
    </row>
    <row r="164" spans="1:13" x14ac:dyDescent="0.25">
      <c r="A164" t="s">
        <v>12</v>
      </c>
      <c r="B164">
        <v>3</v>
      </c>
      <c r="C164" t="s">
        <v>36</v>
      </c>
      <c r="D164" t="s">
        <v>41</v>
      </c>
      <c r="E164" t="s">
        <v>42</v>
      </c>
      <c r="F164" s="1">
        <v>2.3148148148148147E-5</v>
      </c>
      <c r="G164" t="s">
        <v>16</v>
      </c>
      <c r="H164">
        <v>5</v>
      </c>
      <c r="I164">
        <v>173</v>
      </c>
      <c r="J164">
        <v>178</v>
      </c>
      <c r="L164" t="s">
        <v>17</v>
      </c>
      <c r="M164" s="3">
        <f t="shared" si="29"/>
        <v>1.0989995207637548</v>
      </c>
    </row>
    <row r="165" spans="1:13" x14ac:dyDescent="0.25">
      <c r="A165" t="s">
        <v>12</v>
      </c>
      <c r="B165">
        <v>4</v>
      </c>
      <c r="C165" t="s">
        <v>36</v>
      </c>
      <c r="D165" t="s">
        <v>43</v>
      </c>
      <c r="E165" t="s">
        <v>44</v>
      </c>
      <c r="F165" s="1">
        <v>1.2731481481481482E-5</v>
      </c>
      <c r="G165" t="s">
        <v>16</v>
      </c>
      <c r="H165">
        <v>5</v>
      </c>
      <c r="I165">
        <v>173</v>
      </c>
      <c r="J165">
        <v>178</v>
      </c>
      <c r="L165" t="s">
        <v>17</v>
      </c>
      <c r="M165" s="3">
        <f t="shared" si="29"/>
        <v>1.1250001844018698</v>
      </c>
    </row>
    <row r="166" spans="1:13" x14ac:dyDescent="0.25">
      <c r="A166" t="s">
        <v>12</v>
      </c>
      <c r="B166">
        <v>5</v>
      </c>
      <c r="C166" t="s">
        <v>36</v>
      </c>
      <c r="D166" t="s">
        <v>45</v>
      </c>
      <c r="E166" t="s">
        <v>46</v>
      </c>
      <c r="F166" s="1">
        <v>2.199074074074074E-5</v>
      </c>
      <c r="G166" t="s">
        <v>16</v>
      </c>
      <c r="H166">
        <v>5</v>
      </c>
      <c r="I166">
        <v>173</v>
      </c>
      <c r="J166">
        <v>178</v>
      </c>
      <c r="L166" t="s">
        <v>17</v>
      </c>
      <c r="M166" s="3">
        <f t="shared" si="29"/>
        <v>1.092999754473567</v>
      </c>
    </row>
    <row r="167" spans="1:13" x14ac:dyDescent="0.25">
      <c r="A167" t="s">
        <v>12</v>
      </c>
      <c r="B167">
        <v>6</v>
      </c>
      <c r="C167" t="s">
        <v>36</v>
      </c>
      <c r="D167" t="s">
        <v>47</v>
      </c>
      <c r="E167" t="s">
        <v>48</v>
      </c>
      <c r="F167" s="1">
        <v>1.5046296296296297E-5</v>
      </c>
      <c r="G167" t="s">
        <v>16</v>
      </c>
      <c r="H167">
        <v>5</v>
      </c>
      <c r="I167">
        <v>173</v>
      </c>
      <c r="J167">
        <v>178</v>
      </c>
      <c r="L167" t="s">
        <v>17</v>
      </c>
      <c r="M167" s="3">
        <f t="shared" si="29"/>
        <v>1.2690002331510186</v>
      </c>
    </row>
    <row r="168" spans="1:13" x14ac:dyDescent="0.25">
      <c r="A168" t="s">
        <v>12</v>
      </c>
      <c r="B168">
        <v>7</v>
      </c>
      <c r="C168" t="s">
        <v>36</v>
      </c>
      <c r="D168" t="s">
        <v>49</v>
      </c>
      <c r="E168" t="s">
        <v>50</v>
      </c>
      <c r="F168" s="1">
        <v>1.8518518518518518E-5</v>
      </c>
      <c r="G168" t="s">
        <v>16</v>
      </c>
      <c r="H168">
        <v>5</v>
      </c>
      <c r="I168">
        <v>173</v>
      </c>
      <c r="J168">
        <v>178</v>
      </c>
      <c r="L168" t="s">
        <v>17</v>
      </c>
      <c r="M168" s="3">
        <f t="shared" si="29"/>
        <v>1.0619994951412082</v>
      </c>
    </row>
    <row r="169" spans="1:13" x14ac:dyDescent="0.25">
      <c r="A169" t="s">
        <v>12</v>
      </c>
      <c r="B169">
        <v>8</v>
      </c>
      <c r="C169" t="s">
        <v>36</v>
      </c>
      <c r="D169" t="s">
        <v>51</v>
      </c>
      <c r="E169" t="s">
        <v>52</v>
      </c>
      <c r="F169" s="1">
        <v>1.9675925925925925E-5</v>
      </c>
      <c r="G169" t="s">
        <v>16</v>
      </c>
      <c r="H169">
        <v>5</v>
      </c>
      <c r="I169">
        <v>173</v>
      </c>
      <c r="J169">
        <v>178</v>
      </c>
      <c r="L169" t="s">
        <v>17</v>
      </c>
      <c r="M169" s="3">
        <f t="shared" si="29"/>
        <v>1.06500000692904</v>
      </c>
    </row>
    <row r="170" spans="1:13" x14ac:dyDescent="0.25">
      <c r="A170" t="s">
        <v>12</v>
      </c>
      <c r="B170">
        <v>9</v>
      </c>
      <c r="C170" t="s">
        <v>36</v>
      </c>
      <c r="D170" t="s">
        <v>53</v>
      </c>
      <c r="E170" t="s">
        <v>54</v>
      </c>
      <c r="F170" s="1">
        <v>1.8518518518518518E-5</v>
      </c>
      <c r="G170" t="s">
        <v>16</v>
      </c>
      <c r="H170">
        <v>5</v>
      </c>
      <c r="I170">
        <v>173</v>
      </c>
      <c r="J170">
        <v>178</v>
      </c>
      <c r="L170" t="s">
        <v>17</v>
      </c>
      <c r="M170" s="3">
        <f t="shared" si="29"/>
        <v>1.0609999531880021</v>
      </c>
    </row>
    <row r="171" spans="1:13" x14ac:dyDescent="0.25">
      <c r="A171" t="s">
        <v>12</v>
      </c>
      <c r="B171">
        <v>10</v>
      </c>
      <c r="C171" t="s">
        <v>36</v>
      </c>
      <c r="D171" t="s">
        <v>55</v>
      </c>
      <c r="E171" t="s">
        <v>56</v>
      </c>
      <c r="F171" s="1">
        <v>1.5046296296296297E-5</v>
      </c>
      <c r="G171" t="s">
        <v>16</v>
      </c>
      <c r="H171">
        <v>5</v>
      </c>
      <c r="I171">
        <v>173</v>
      </c>
      <c r="J171">
        <v>178</v>
      </c>
      <c r="L171" t="s">
        <v>17</v>
      </c>
      <c r="M171" s="3">
        <f t="shared" si="29"/>
        <v>1.2540001887828112</v>
      </c>
    </row>
    <row r="172" spans="1:13" x14ac:dyDescent="0.25">
      <c r="A172" t="s">
        <v>12</v>
      </c>
      <c r="B172">
        <v>1</v>
      </c>
      <c r="C172" t="s">
        <v>57</v>
      </c>
      <c r="D172" t="s">
        <v>58</v>
      </c>
      <c r="E172" t="s">
        <v>59</v>
      </c>
      <c r="F172" s="1">
        <v>1.2731481481481482E-5</v>
      </c>
      <c r="G172" t="s">
        <v>16</v>
      </c>
      <c r="H172">
        <v>5</v>
      </c>
      <c r="I172">
        <v>108</v>
      </c>
      <c r="J172">
        <v>113</v>
      </c>
      <c r="L172" t="s">
        <v>17</v>
      </c>
      <c r="M172" s="3">
        <f t="shared" si="29"/>
        <v>1.1210001306608319</v>
      </c>
    </row>
    <row r="173" spans="1:13" x14ac:dyDescent="0.25">
      <c r="A173" t="s">
        <v>12</v>
      </c>
      <c r="B173">
        <v>2</v>
      </c>
      <c r="C173" t="s">
        <v>57</v>
      </c>
      <c r="D173" t="s">
        <v>60</v>
      </c>
      <c r="E173" t="s">
        <v>61</v>
      </c>
      <c r="F173" s="1">
        <v>1.2731481481481482E-5</v>
      </c>
      <c r="G173" t="s">
        <v>16</v>
      </c>
      <c r="H173">
        <v>5</v>
      </c>
      <c r="I173">
        <v>108</v>
      </c>
      <c r="J173">
        <v>113</v>
      </c>
      <c r="L173" t="s">
        <v>17</v>
      </c>
      <c r="M173" s="3">
        <f t="shared" si="29"/>
        <v>1.1309999506920576</v>
      </c>
    </row>
    <row r="174" spans="1:13" x14ac:dyDescent="0.25">
      <c r="A174" t="s">
        <v>12</v>
      </c>
      <c r="B174">
        <v>3</v>
      </c>
      <c r="C174" t="s">
        <v>57</v>
      </c>
      <c r="D174" t="s">
        <v>62</v>
      </c>
      <c r="E174" t="s">
        <v>63</v>
      </c>
      <c r="F174" s="1">
        <v>1.6203703703703704E-5</v>
      </c>
      <c r="G174" t="s">
        <v>16</v>
      </c>
      <c r="H174">
        <v>5</v>
      </c>
      <c r="I174">
        <v>108</v>
      </c>
      <c r="J174">
        <v>113</v>
      </c>
      <c r="L174" t="s">
        <v>17</v>
      </c>
      <c r="M174" s="3">
        <f t="shared" si="29"/>
        <v>1.0370002593845129</v>
      </c>
    </row>
    <row r="175" spans="1:13" x14ac:dyDescent="0.25">
      <c r="A175" t="s">
        <v>12</v>
      </c>
      <c r="B175">
        <v>4</v>
      </c>
      <c r="C175" t="s">
        <v>57</v>
      </c>
      <c r="D175" t="s">
        <v>64</v>
      </c>
      <c r="E175" t="s">
        <v>65</v>
      </c>
      <c r="F175" s="1">
        <v>1.7361111111111111E-5</v>
      </c>
      <c r="G175" t="s">
        <v>16</v>
      </c>
      <c r="H175">
        <v>5</v>
      </c>
      <c r="I175">
        <v>108</v>
      </c>
      <c r="J175">
        <v>113</v>
      </c>
      <c r="L175" t="s">
        <v>17</v>
      </c>
      <c r="M175" s="3">
        <f t="shared" si="29"/>
        <v>1.5200003050267696</v>
      </c>
    </row>
    <row r="176" spans="1:13" x14ac:dyDescent="0.25">
      <c r="A176" t="s">
        <v>12</v>
      </c>
      <c r="B176">
        <v>5</v>
      </c>
      <c r="C176" t="s">
        <v>57</v>
      </c>
      <c r="D176" t="s">
        <v>66</v>
      </c>
      <c r="E176" t="s">
        <v>67</v>
      </c>
      <c r="F176" s="1">
        <v>2.0833333333333333E-5</v>
      </c>
      <c r="G176" t="s">
        <v>16</v>
      </c>
      <c r="H176">
        <v>5</v>
      </c>
      <c r="I176">
        <v>108</v>
      </c>
      <c r="J176">
        <v>113</v>
      </c>
      <c r="L176" t="s">
        <v>17</v>
      </c>
      <c r="M176" s="3">
        <f t="shared" si="29"/>
        <v>1.0809995932504535</v>
      </c>
    </row>
    <row r="177" spans="1:13" x14ac:dyDescent="0.25">
      <c r="A177" t="s">
        <v>12</v>
      </c>
      <c r="B177">
        <v>6</v>
      </c>
      <c r="C177" t="s">
        <v>57</v>
      </c>
      <c r="D177" t="s">
        <v>68</v>
      </c>
      <c r="E177" t="s">
        <v>69</v>
      </c>
      <c r="F177" s="1">
        <v>1.7361111111111111E-5</v>
      </c>
      <c r="G177" t="s">
        <v>16</v>
      </c>
      <c r="H177">
        <v>5</v>
      </c>
      <c r="I177">
        <v>108</v>
      </c>
      <c r="J177">
        <v>113</v>
      </c>
      <c r="L177" t="s">
        <v>17</v>
      </c>
      <c r="M177" s="3">
        <f t="shared" si="29"/>
        <v>1.0480002500116825</v>
      </c>
    </row>
    <row r="178" spans="1:13" x14ac:dyDescent="0.25">
      <c r="A178" t="s">
        <v>12</v>
      </c>
      <c r="B178">
        <v>7</v>
      </c>
      <c r="C178" t="s">
        <v>57</v>
      </c>
      <c r="D178" t="s">
        <v>70</v>
      </c>
      <c r="E178" t="s">
        <v>71</v>
      </c>
      <c r="F178" s="1">
        <v>1.2731481481481482E-5</v>
      </c>
      <c r="G178" t="s">
        <v>16</v>
      </c>
      <c r="H178">
        <v>5</v>
      </c>
      <c r="I178">
        <v>108</v>
      </c>
      <c r="J178">
        <v>113</v>
      </c>
      <c r="L178" t="s">
        <v>17</v>
      </c>
      <c r="M178" s="3">
        <f t="shared" si="29"/>
        <v>1.1200005887076259</v>
      </c>
    </row>
    <row r="179" spans="1:13" x14ac:dyDescent="0.25">
      <c r="A179" t="s">
        <v>12</v>
      </c>
      <c r="B179">
        <v>8</v>
      </c>
      <c r="C179" t="s">
        <v>57</v>
      </c>
      <c r="D179" t="s">
        <v>72</v>
      </c>
      <c r="E179" t="s">
        <v>73</v>
      </c>
      <c r="F179" s="1">
        <v>1.9675925925925925E-5</v>
      </c>
      <c r="G179" t="s">
        <v>16</v>
      </c>
      <c r="H179">
        <v>5</v>
      </c>
      <c r="I179">
        <v>108</v>
      </c>
      <c r="J179">
        <v>113</v>
      </c>
      <c r="L179" t="s">
        <v>17</v>
      </c>
      <c r="M179" s="3">
        <f t="shared" si="29"/>
        <v>1.0729994857683778</v>
      </c>
    </row>
    <row r="180" spans="1:13" x14ac:dyDescent="0.25">
      <c r="A180" t="s">
        <v>12</v>
      </c>
      <c r="B180">
        <v>9</v>
      </c>
      <c r="C180" t="s">
        <v>57</v>
      </c>
      <c r="D180" t="s">
        <v>74</v>
      </c>
      <c r="E180" t="s">
        <v>75</v>
      </c>
      <c r="F180" s="1">
        <v>1.6203703703703704E-5</v>
      </c>
      <c r="G180" t="s">
        <v>16</v>
      </c>
      <c r="H180">
        <v>5</v>
      </c>
      <c r="I180">
        <v>108</v>
      </c>
      <c r="J180">
        <v>113</v>
      </c>
      <c r="L180" t="s">
        <v>17</v>
      </c>
      <c r="M180" s="3">
        <f t="shared" si="29"/>
        <v>1.0430000256747007</v>
      </c>
    </row>
    <row r="181" spans="1:13" x14ac:dyDescent="0.25">
      <c r="A181" t="s">
        <v>12</v>
      </c>
      <c r="B181">
        <v>10</v>
      </c>
      <c r="C181" t="s">
        <v>57</v>
      </c>
      <c r="D181" t="s">
        <v>76</v>
      </c>
      <c r="E181" t="s">
        <v>77</v>
      </c>
      <c r="F181" s="1">
        <v>1.6203703703703704E-5</v>
      </c>
      <c r="G181" t="s">
        <v>16</v>
      </c>
      <c r="H181">
        <v>5</v>
      </c>
      <c r="I181">
        <v>108</v>
      </c>
      <c r="J181">
        <v>113</v>
      </c>
      <c r="L181" t="s">
        <v>17</v>
      </c>
      <c r="M181" s="3">
        <f t="shared" si="29"/>
        <v>1.0370002593845129</v>
      </c>
    </row>
    <row r="182" spans="1:13" x14ac:dyDescent="0.25">
      <c r="A182" t="s">
        <v>78</v>
      </c>
      <c r="B182">
        <v>1</v>
      </c>
      <c r="C182" t="s">
        <v>13</v>
      </c>
      <c r="D182" t="s">
        <v>79</v>
      </c>
      <c r="E182" t="s">
        <v>80</v>
      </c>
      <c r="F182" s="1">
        <v>1.7361111111111111E-5</v>
      </c>
      <c r="G182" t="s">
        <v>16</v>
      </c>
      <c r="H182">
        <v>4</v>
      </c>
      <c r="I182">
        <v>74</v>
      </c>
      <c r="J182">
        <v>78</v>
      </c>
      <c r="L182" t="s">
        <v>17</v>
      </c>
      <c r="M182" s="3">
        <f t="shared" si="29"/>
        <v>1.4989998657256365</v>
      </c>
    </row>
    <row r="183" spans="1:13" x14ac:dyDescent="0.25">
      <c r="A183" t="s">
        <v>78</v>
      </c>
      <c r="B183">
        <v>2</v>
      </c>
      <c r="C183" t="s">
        <v>13</v>
      </c>
      <c r="D183" t="s">
        <v>81</v>
      </c>
      <c r="E183" t="s">
        <v>82</v>
      </c>
      <c r="F183" s="1">
        <v>1.6203703703703704E-5</v>
      </c>
      <c r="G183" t="s">
        <v>16</v>
      </c>
      <c r="H183">
        <v>4</v>
      </c>
      <c r="I183">
        <v>74</v>
      </c>
      <c r="J183">
        <v>78</v>
      </c>
      <c r="L183" t="s">
        <v>17</v>
      </c>
      <c r="M183" s="3">
        <f t="shared" si="29"/>
        <v>1.427000155672431</v>
      </c>
    </row>
    <row r="184" spans="1:13" x14ac:dyDescent="0.25">
      <c r="A184" t="s">
        <v>78</v>
      </c>
      <c r="B184">
        <v>3</v>
      </c>
      <c r="C184" t="s">
        <v>13</v>
      </c>
      <c r="D184" t="s">
        <v>83</v>
      </c>
      <c r="E184" t="s">
        <v>84</v>
      </c>
      <c r="F184" s="1">
        <v>1.7361111111111111E-5</v>
      </c>
      <c r="G184" t="s">
        <v>16</v>
      </c>
      <c r="H184">
        <v>4</v>
      </c>
      <c r="I184">
        <v>74</v>
      </c>
      <c r="J184">
        <v>78</v>
      </c>
      <c r="L184" t="s">
        <v>17</v>
      </c>
      <c r="M184" s="3">
        <f t="shared" si="29"/>
        <v>1.51100002694875</v>
      </c>
    </row>
    <row r="185" spans="1:13" x14ac:dyDescent="0.25">
      <c r="A185" t="s">
        <v>78</v>
      </c>
      <c r="B185">
        <v>4</v>
      </c>
      <c r="C185" t="s">
        <v>13</v>
      </c>
      <c r="D185" t="s">
        <v>85</v>
      </c>
      <c r="E185" t="s">
        <v>86</v>
      </c>
      <c r="F185" s="1">
        <v>1.2731481481481482E-5</v>
      </c>
      <c r="G185" t="s">
        <v>16</v>
      </c>
      <c r="H185">
        <v>4</v>
      </c>
      <c r="I185">
        <v>74</v>
      </c>
      <c r="J185">
        <v>78</v>
      </c>
      <c r="L185" t="s">
        <v>17</v>
      </c>
      <c r="M185" s="3">
        <f t="shared" si="29"/>
        <v>1.1140001937747002</v>
      </c>
    </row>
    <row r="186" spans="1:13" x14ac:dyDescent="0.25">
      <c r="A186" t="s">
        <v>78</v>
      </c>
      <c r="B186">
        <v>5</v>
      </c>
      <c r="C186" t="s">
        <v>13</v>
      </c>
      <c r="D186" t="s">
        <v>87</v>
      </c>
      <c r="E186" t="s">
        <v>88</v>
      </c>
      <c r="F186" s="1">
        <v>1.6203703703703704E-5</v>
      </c>
      <c r="G186" t="s">
        <v>16</v>
      </c>
      <c r="H186">
        <v>4</v>
      </c>
      <c r="I186">
        <v>74</v>
      </c>
      <c r="J186">
        <v>78</v>
      </c>
      <c r="L186" t="s">
        <v>17</v>
      </c>
      <c r="M186" s="3">
        <f t="shared" si="29"/>
        <v>1.4160001650452614</v>
      </c>
    </row>
    <row r="187" spans="1:13" x14ac:dyDescent="0.25">
      <c r="A187" t="s">
        <v>78</v>
      </c>
      <c r="B187">
        <v>6</v>
      </c>
      <c r="C187" t="s">
        <v>13</v>
      </c>
      <c r="D187" t="s">
        <v>89</v>
      </c>
      <c r="E187" t="s">
        <v>90</v>
      </c>
      <c r="F187" s="1">
        <v>1.6203703703703704E-5</v>
      </c>
      <c r="G187" t="s">
        <v>16</v>
      </c>
      <c r="H187">
        <v>4</v>
      </c>
      <c r="I187">
        <v>74</v>
      </c>
      <c r="J187">
        <v>78</v>
      </c>
      <c r="L187" t="s">
        <v>17</v>
      </c>
      <c r="M187" s="3">
        <f t="shared" si="29"/>
        <v>1.4439999125897884</v>
      </c>
    </row>
    <row r="188" spans="1:13" x14ac:dyDescent="0.25">
      <c r="A188" t="s">
        <v>78</v>
      </c>
      <c r="B188">
        <v>7</v>
      </c>
      <c r="C188" t="s">
        <v>13</v>
      </c>
      <c r="D188" t="s">
        <v>91</v>
      </c>
      <c r="E188" t="s">
        <v>92</v>
      </c>
      <c r="F188" s="1">
        <v>1.7361111111111111E-5</v>
      </c>
      <c r="G188" t="s">
        <v>16</v>
      </c>
      <c r="H188">
        <v>4</v>
      </c>
      <c r="I188">
        <v>74</v>
      </c>
      <c r="J188">
        <v>78</v>
      </c>
      <c r="L188" t="s">
        <v>17</v>
      </c>
      <c r="M188" s="3">
        <f t="shared" si="29"/>
        <v>1.5150000806897879</v>
      </c>
    </row>
    <row r="189" spans="1:13" x14ac:dyDescent="0.25">
      <c r="A189" t="s">
        <v>78</v>
      </c>
      <c r="B189">
        <v>8</v>
      </c>
      <c r="C189" t="s">
        <v>13</v>
      </c>
      <c r="D189" t="s">
        <v>93</v>
      </c>
      <c r="E189" t="s">
        <v>94</v>
      </c>
      <c r="F189" s="1">
        <v>1.3888888888888888E-5</v>
      </c>
      <c r="G189" t="s">
        <v>16</v>
      </c>
      <c r="H189">
        <v>4</v>
      </c>
      <c r="I189">
        <v>74</v>
      </c>
      <c r="J189">
        <v>78</v>
      </c>
      <c r="L189" t="s">
        <v>17</v>
      </c>
      <c r="M189" s="3">
        <f t="shared" si="29"/>
        <v>1.1960003525018692</v>
      </c>
    </row>
    <row r="190" spans="1:13" x14ac:dyDescent="0.25">
      <c r="A190" t="s">
        <v>78</v>
      </c>
      <c r="B190">
        <v>9</v>
      </c>
      <c r="C190" t="s">
        <v>13</v>
      </c>
      <c r="D190" t="s">
        <v>95</v>
      </c>
      <c r="E190" t="s">
        <v>96</v>
      </c>
      <c r="F190" s="1">
        <v>1.6203703703703704E-5</v>
      </c>
      <c r="G190" t="s">
        <v>16</v>
      </c>
      <c r="H190">
        <v>4</v>
      </c>
      <c r="I190">
        <v>74</v>
      </c>
      <c r="J190">
        <v>78</v>
      </c>
      <c r="L190" t="s">
        <v>17</v>
      </c>
      <c r="M190" s="3">
        <f t="shared" si="29"/>
        <v>1.4490001369267702</v>
      </c>
    </row>
    <row r="191" spans="1:13" x14ac:dyDescent="0.25">
      <c r="A191" t="s">
        <v>78</v>
      </c>
      <c r="B191">
        <v>10</v>
      </c>
      <c r="C191" t="s">
        <v>13</v>
      </c>
      <c r="D191" t="s">
        <v>97</v>
      </c>
      <c r="E191" t="s">
        <v>98</v>
      </c>
      <c r="F191" s="1">
        <v>1.2731481481481482E-5</v>
      </c>
      <c r="G191" t="s">
        <v>16</v>
      </c>
      <c r="H191">
        <v>4</v>
      </c>
      <c r="I191">
        <v>74</v>
      </c>
      <c r="J191">
        <v>78</v>
      </c>
      <c r="L191" t="s">
        <v>17</v>
      </c>
      <c r="M191" s="3">
        <f t="shared" si="29"/>
        <v>1.0999996913596988</v>
      </c>
    </row>
    <row r="192" spans="1:13" x14ac:dyDescent="0.25">
      <c r="A192" t="s">
        <v>78</v>
      </c>
      <c r="B192">
        <v>1</v>
      </c>
      <c r="C192" t="s">
        <v>36</v>
      </c>
      <c r="D192" t="s">
        <v>99</v>
      </c>
      <c r="E192" t="s">
        <v>100</v>
      </c>
      <c r="F192" s="1">
        <v>1.9675925925925925E-5</v>
      </c>
      <c r="G192" t="s">
        <v>16</v>
      </c>
      <c r="H192">
        <v>4</v>
      </c>
      <c r="I192">
        <v>150</v>
      </c>
      <c r="J192">
        <v>154</v>
      </c>
      <c r="L192" t="s">
        <v>17</v>
      </c>
      <c r="M192" s="3">
        <f t="shared" si="29"/>
        <v>1.6939998138695955</v>
      </c>
    </row>
    <row r="193" spans="1:13" x14ac:dyDescent="0.25">
      <c r="A193" t="s">
        <v>78</v>
      </c>
      <c r="B193">
        <v>2</v>
      </c>
      <c r="C193" t="s">
        <v>36</v>
      </c>
      <c r="D193" t="s">
        <v>101</v>
      </c>
      <c r="E193" t="s">
        <v>102</v>
      </c>
      <c r="F193" s="1">
        <v>1.6203703703703704E-5</v>
      </c>
      <c r="G193" t="s">
        <v>16</v>
      </c>
      <c r="H193">
        <v>4</v>
      </c>
      <c r="I193">
        <v>150</v>
      </c>
      <c r="J193">
        <v>154</v>
      </c>
      <c r="L193" t="s">
        <v>17</v>
      </c>
      <c r="M193" s="3">
        <f t="shared" si="29"/>
        <v>1.4329999219626188</v>
      </c>
    </row>
    <row r="194" spans="1:13" x14ac:dyDescent="0.25">
      <c r="A194" t="s">
        <v>78</v>
      </c>
      <c r="B194">
        <v>3</v>
      </c>
      <c r="C194" t="s">
        <v>36</v>
      </c>
      <c r="D194" t="s">
        <v>103</v>
      </c>
      <c r="E194" t="s">
        <v>104</v>
      </c>
      <c r="F194" s="1">
        <v>1.6203703703703704E-5</v>
      </c>
      <c r="G194" t="s">
        <v>16</v>
      </c>
      <c r="H194">
        <v>4</v>
      </c>
      <c r="I194">
        <v>150</v>
      </c>
      <c r="J194">
        <v>154</v>
      </c>
      <c r="L194" t="s">
        <v>17</v>
      </c>
      <c r="M194" s="3">
        <f t="shared" si="29"/>
        <v>1.3549998169764876</v>
      </c>
    </row>
    <row r="195" spans="1:13" x14ac:dyDescent="0.25">
      <c r="A195" t="s">
        <v>78</v>
      </c>
      <c r="B195">
        <v>4</v>
      </c>
      <c r="C195" t="s">
        <v>36</v>
      </c>
      <c r="D195" t="s">
        <v>105</v>
      </c>
      <c r="E195" t="s">
        <v>106</v>
      </c>
      <c r="F195" s="1">
        <v>1.3888888888888888E-5</v>
      </c>
      <c r="G195" t="s">
        <v>16</v>
      </c>
      <c r="H195">
        <v>4</v>
      </c>
      <c r="I195">
        <v>150</v>
      </c>
      <c r="J195">
        <v>154</v>
      </c>
      <c r="L195" t="s">
        <v>17</v>
      </c>
      <c r="M195" s="3">
        <f t="shared" ref="M195:M258" si="30">(SUBSTITUTE(LEFT(E195,23),"T"," ")-SUBSTITUTE(LEFT(D195,23),"T"," "))*86400</f>
        <v>1.2060001725330949</v>
      </c>
    </row>
    <row r="196" spans="1:13" x14ac:dyDescent="0.25">
      <c r="A196" t="s">
        <v>78</v>
      </c>
      <c r="B196">
        <v>5</v>
      </c>
      <c r="C196" t="s">
        <v>36</v>
      </c>
      <c r="D196" t="s">
        <v>107</v>
      </c>
      <c r="E196" t="s">
        <v>108</v>
      </c>
      <c r="F196" s="1">
        <v>1.7361111111111111E-5</v>
      </c>
      <c r="G196" t="s">
        <v>16</v>
      </c>
      <c r="H196">
        <v>4</v>
      </c>
      <c r="I196">
        <v>150</v>
      </c>
      <c r="J196">
        <v>154</v>
      </c>
      <c r="L196" t="s">
        <v>17</v>
      </c>
      <c r="M196" s="3">
        <f t="shared" si="30"/>
        <v>1.4710001181811094</v>
      </c>
    </row>
    <row r="197" spans="1:13" x14ac:dyDescent="0.25">
      <c r="A197" t="s">
        <v>78</v>
      </c>
      <c r="B197">
        <v>6</v>
      </c>
      <c r="C197" t="s">
        <v>36</v>
      </c>
      <c r="D197" t="s">
        <v>109</v>
      </c>
      <c r="E197" t="s">
        <v>110</v>
      </c>
      <c r="F197" s="1">
        <v>1.2731481481481482E-5</v>
      </c>
      <c r="G197" t="s">
        <v>16</v>
      </c>
      <c r="H197">
        <v>4</v>
      </c>
      <c r="I197">
        <v>150</v>
      </c>
      <c r="J197">
        <v>154</v>
      </c>
      <c r="L197" t="s">
        <v>17</v>
      </c>
      <c r="M197" s="3">
        <f t="shared" si="30"/>
        <v>1.1100001400336623</v>
      </c>
    </row>
    <row r="198" spans="1:13" x14ac:dyDescent="0.25">
      <c r="A198" t="s">
        <v>78</v>
      </c>
      <c r="B198">
        <v>7</v>
      </c>
      <c r="C198" t="s">
        <v>36</v>
      </c>
      <c r="D198" t="s">
        <v>111</v>
      </c>
      <c r="E198" t="s">
        <v>112</v>
      </c>
      <c r="F198" s="1">
        <v>2.199074074074074E-5</v>
      </c>
      <c r="G198" t="s">
        <v>16</v>
      </c>
      <c r="H198">
        <v>4</v>
      </c>
      <c r="I198">
        <v>150</v>
      </c>
      <c r="J198">
        <v>154</v>
      </c>
      <c r="L198" t="s">
        <v>17</v>
      </c>
      <c r="M198" s="3">
        <f t="shared" si="30"/>
        <v>1.0919995838776231</v>
      </c>
    </row>
    <row r="199" spans="1:13" x14ac:dyDescent="0.25">
      <c r="A199" t="s">
        <v>78</v>
      </c>
      <c r="B199">
        <v>8</v>
      </c>
      <c r="C199" t="s">
        <v>36</v>
      </c>
      <c r="D199" t="s">
        <v>113</v>
      </c>
      <c r="E199" t="s">
        <v>114</v>
      </c>
      <c r="F199" s="1">
        <v>1.2731481481481482E-5</v>
      </c>
      <c r="G199" t="s">
        <v>16</v>
      </c>
      <c r="H199">
        <v>4</v>
      </c>
      <c r="I199">
        <v>150</v>
      </c>
      <c r="J199">
        <v>154</v>
      </c>
      <c r="L199" t="s">
        <v>17</v>
      </c>
      <c r="M199" s="3">
        <f t="shared" si="30"/>
        <v>1.1449998244643211</v>
      </c>
    </row>
    <row r="200" spans="1:13" x14ac:dyDescent="0.25">
      <c r="A200" t="s">
        <v>78</v>
      </c>
      <c r="B200">
        <v>9</v>
      </c>
      <c r="C200" t="s">
        <v>36</v>
      </c>
      <c r="D200" t="s">
        <v>115</v>
      </c>
      <c r="E200" t="s">
        <v>116</v>
      </c>
      <c r="F200" s="1">
        <v>1.7361111111111111E-5</v>
      </c>
      <c r="G200" t="s">
        <v>16</v>
      </c>
      <c r="H200">
        <v>4</v>
      </c>
      <c r="I200">
        <v>150</v>
      </c>
      <c r="J200">
        <v>154</v>
      </c>
      <c r="L200" t="s">
        <v>17</v>
      </c>
      <c r="M200" s="3">
        <f t="shared" si="30"/>
        <v>1.483000279404223</v>
      </c>
    </row>
    <row r="201" spans="1:13" x14ac:dyDescent="0.25">
      <c r="A201" t="s">
        <v>78</v>
      </c>
      <c r="B201">
        <v>10</v>
      </c>
      <c r="C201" t="s">
        <v>36</v>
      </c>
      <c r="D201" t="s">
        <v>117</v>
      </c>
      <c r="E201" t="s">
        <v>118</v>
      </c>
      <c r="F201" s="1">
        <v>1.7361111111111111E-5</v>
      </c>
      <c r="G201" t="s">
        <v>16</v>
      </c>
      <c r="H201">
        <v>4</v>
      </c>
      <c r="I201">
        <v>150</v>
      </c>
      <c r="J201">
        <v>154</v>
      </c>
      <c r="L201" t="s">
        <v>17</v>
      </c>
      <c r="M201" s="3">
        <f t="shared" si="30"/>
        <v>1.483999821357429</v>
      </c>
    </row>
    <row r="202" spans="1:13" x14ac:dyDescent="0.25">
      <c r="A202" t="s">
        <v>78</v>
      </c>
      <c r="B202">
        <v>1</v>
      </c>
      <c r="C202" t="s">
        <v>57</v>
      </c>
      <c r="D202" t="s">
        <v>119</v>
      </c>
      <c r="E202" t="s">
        <v>120</v>
      </c>
      <c r="F202" s="1">
        <v>1.7361111111111111E-5</v>
      </c>
      <c r="G202" t="s">
        <v>16</v>
      </c>
      <c r="H202">
        <v>4</v>
      </c>
      <c r="I202">
        <v>104</v>
      </c>
      <c r="J202">
        <v>108</v>
      </c>
      <c r="L202" t="s">
        <v>17</v>
      </c>
      <c r="M202" s="3">
        <f t="shared" si="30"/>
        <v>1.5069999732077122</v>
      </c>
    </row>
    <row r="203" spans="1:13" x14ac:dyDescent="0.25">
      <c r="A203" t="s">
        <v>78</v>
      </c>
      <c r="B203">
        <v>2</v>
      </c>
      <c r="C203" t="s">
        <v>57</v>
      </c>
      <c r="D203" t="s">
        <v>121</v>
      </c>
      <c r="E203" t="s">
        <v>122</v>
      </c>
      <c r="F203" s="1">
        <v>1.7361111111111111E-5</v>
      </c>
      <c r="G203" t="s">
        <v>16</v>
      </c>
      <c r="H203">
        <v>4</v>
      </c>
      <c r="I203">
        <v>104</v>
      </c>
      <c r="J203">
        <v>108</v>
      </c>
      <c r="L203" t="s">
        <v>17</v>
      </c>
      <c r="M203" s="3">
        <f t="shared" si="30"/>
        <v>1.5019997488707304</v>
      </c>
    </row>
    <row r="204" spans="1:13" x14ac:dyDescent="0.25">
      <c r="A204" t="s">
        <v>78</v>
      </c>
      <c r="B204">
        <v>3</v>
      </c>
      <c r="C204" t="s">
        <v>57</v>
      </c>
      <c r="D204" t="s">
        <v>123</v>
      </c>
      <c r="E204" t="s">
        <v>124</v>
      </c>
      <c r="F204" s="1">
        <v>1.6203703703703704E-5</v>
      </c>
      <c r="G204" t="s">
        <v>16</v>
      </c>
      <c r="H204">
        <v>4</v>
      </c>
      <c r="I204">
        <v>104</v>
      </c>
      <c r="J204">
        <v>108</v>
      </c>
      <c r="L204" t="s">
        <v>17</v>
      </c>
      <c r="M204" s="3">
        <f t="shared" si="30"/>
        <v>1.3840003637596965</v>
      </c>
    </row>
    <row r="205" spans="1:13" x14ac:dyDescent="0.25">
      <c r="A205" t="s">
        <v>78</v>
      </c>
      <c r="B205">
        <v>4</v>
      </c>
      <c r="C205" t="s">
        <v>57</v>
      </c>
      <c r="D205" t="s">
        <v>125</v>
      </c>
      <c r="E205" t="s">
        <v>126</v>
      </c>
      <c r="F205" s="1">
        <v>1.7361111111111111E-5</v>
      </c>
      <c r="G205" t="s">
        <v>16</v>
      </c>
      <c r="H205">
        <v>4</v>
      </c>
      <c r="I205">
        <v>104</v>
      </c>
      <c r="J205">
        <v>108</v>
      </c>
      <c r="L205" t="s">
        <v>17</v>
      </c>
      <c r="M205" s="3">
        <f t="shared" si="30"/>
        <v>1.4769998844712973</v>
      </c>
    </row>
    <row r="206" spans="1:13" x14ac:dyDescent="0.25">
      <c r="A206" t="s">
        <v>78</v>
      </c>
      <c r="B206">
        <v>5</v>
      </c>
      <c r="C206" t="s">
        <v>57</v>
      </c>
      <c r="D206" t="s">
        <v>127</v>
      </c>
      <c r="E206" t="s">
        <v>128</v>
      </c>
      <c r="F206" s="1">
        <v>1.7361111111111111E-5</v>
      </c>
      <c r="G206" t="s">
        <v>16</v>
      </c>
      <c r="H206">
        <v>4</v>
      </c>
      <c r="I206">
        <v>104</v>
      </c>
      <c r="J206">
        <v>108</v>
      </c>
      <c r="L206" t="s">
        <v>17</v>
      </c>
      <c r="M206" s="3">
        <f t="shared" si="30"/>
        <v>1.5099998563528061</v>
      </c>
    </row>
    <row r="207" spans="1:13" x14ac:dyDescent="0.25">
      <c r="A207" t="s">
        <v>78</v>
      </c>
      <c r="B207">
        <v>6</v>
      </c>
      <c r="C207" t="s">
        <v>57</v>
      </c>
      <c r="D207" t="s">
        <v>129</v>
      </c>
      <c r="E207" t="s">
        <v>130</v>
      </c>
      <c r="F207" s="1">
        <v>1.3888888888888888E-5</v>
      </c>
      <c r="G207" t="s">
        <v>16</v>
      </c>
      <c r="H207">
        <v>4</v>
      </c>
      <c r="I207">
        <v>104</v>
      </c>
      <c r="J207">
        <v>108</v>
      </c>
      <c r="L207" t="s">
        <v>17</v>
      </c>
      <c r="M207" s="3">
        <f t="shared" si="30"/>
        <v>1.203999831341207</v>
      </c>
    </row>
    <row r="208" spans="1:13" x14ac:dyDescent="0.25">
      <c r="A208" t="s">
        <v>78</v>
      </c>
      <c r="B208">
        <v>7</v>
      </c>
      <c r="C208" t="s">
        <v>57</v>
      </c>
      <c r="D208" t="s">
        <v>131</v>
      </c>
      <c r="E208" t="s">
        <v>132</v>
      </c>
      <c r="F208" s="1">
        <v>1.8518518518518518E-5</v>
      </c>
      <c r="G208" t="s">
        <v>16</v>
      </c>
      <c r="H208">
        <v>4</v>
      </c>
      <c r="I208">
        <v>104</v>
      </c>
      <c r="J208">
        <v>108</v>
      </c>
      <c r="L208" t="s">
        <v>17</v>
      </c>
      <c r="M208" s="3">
        <f t="shared" si="30"/>
        <v>1.5509999357163906</v>
      </c>
    </row>
    <row r="209" spans="1:13" x14ac:dyDescent="0.25">
      <c r="A209" t="s">
        <v>78</v>
      </c>
      <c r="B209">
        <v>8</v>
      </c>
      <c r="C209" t="s">
        <v>57</v>
      </c>
      <c r="D209" t="s">
        <v>133</v>
      </c>
      <c r="E209" t="s">
        <v>134</v>
      </c>
      <c r="F209" s="1">
        <v>1.5046296296296297E-5</v>
      </c>
      <c r="G209" t="s">
        <v>16</v>
      </c>
      <c r="H209">
        <v>4</v>
      </c>
      <c r="I209">
        <v>104</v>
      </c>
      <c r="J209">
        <v>108</v>
      </c>
      <c r="L209" t="s">
        <v>17</v>
      </c>
      <c r="M209" s="3">
        <f t="shared" si="30"/>
        <v>1.345999538898468</v>
      </c>
    </row>
    <row r="210" spans="1:13" x14ac:dyDescent="0.25">
      <c r="A210" t="s">
        <v>78</v>
      </c>
      <c r="B210">
        <v>9</v>
      </c>
      <c r="C210" t="s">
        <v>57</v>
      </c>
      <c r="D210" t="s">
        <v>135</v>
      </c>
      <c r="E210" t="s">
        <v>136</v>
      </c>
      <c r="F210" s="1">
        <v>1.7361111111111111E-5</v>
      </c>
      <c r="G210" t="s">
        <v>16</v>
      </c>
      <c r="H210">
        <v>4</v>
      </c>
      <c r="I210">
        <v>104</v>
      </c>
      <c r="J210">
        <v>108</v>
      </c>
      <c r="L210" t="s">
        <v>17</v>
      </c>
      <c r="M210" s="3">
        <f t="shared" si="30"/>
        <v>1.5150000806897879</v>
      </c>
    </row>
    <row r="211" spans="1:13" x14ac:dyDescent="0.25">
      <c r="A211" t="s">
        <v>78</v>
      </c>
      <c r="B211">
        <v>10</v>
      </c>
      <c r="C211" t="s">
        <v>57</v>
      </c>
      <c r="D211" t="s">
        <v>137</v>
      </c>
      <c r="E211" t="s">
        <v>138</v>
      </c>
      <c r="F211" s="1">
        <v>1.3888888888888888E-5</v>
      </c>
      <c r="G211" t="s">
        <v>16</v>
      </c>
      <c r="H211">
        <v>4</v>
      </c>
      <c r="I211">
        <v>104</v>
      </c>
      <c r="J211">
        <v>108</v>
      </c>
      <c r="L211" t="s">
        <v>17</v>
      </c>
      <c r="M211" s="3">
        <f t="shared" si="30"/>
        <v>1.2390001444146037</v>
      </c>
    </row>
    <row r="212" spans="1:13" x14ac:dyDescent="0.25">
      <c r="A212" t="s">
        <v>139</v>
      </c>
      <c r="B212">
        <v>1</v>
      </c>
      <c r="C212" t="s">
        <v>13</v>
      </c>
      <c r="D212" t="s">
        <v>140</v>
      </c>
      <c r="E212" t="s">
        <v>141</v>
      </c>
      <c r="F212" s="1">
        <v>1.6203703703703704E-5</v>
      </c>
      <c r="G212" t="s">
        <v>16</v>
      </c>
      <c r="H212">
        <v>2</v>
      </c>
      <c r="I212">
        <v>67</v>
      </c>
      <c r="J212">
        <v>69</v>
      </c>
      <c r="L212" t="s">
        <v>17</v>
      </c>
      <c r="M212" s="3">
        <f t="shared" si="30"/>
        <v>1.3720002025365829</v>
      </c>
    </row>
    <row r="213" spans="1:13" x14ac:dyDescent="0.25">
      <c r="A213" t="s">
        <v>139</v>
      </c>
      <c r="B213">
        <v>2</v>
      </c>
      <c r="C213" t="s">
        <v>13</v>
      </c>
      <c r="D213" t="s">
        <v>142</v>
      </c>
      <c r="E213" t="s">
        <v>143</v>
      </c>
      <c r="F213" s="1">
        <v>1.5046296296296297E-5</v>
      </c>
      <c r="G213" t="s">
        <v>16</v>
      </c>
      <c r="H213">
        <v>2</v>
      </c>
      <c r="I213">
        <v>67</v>
      </c>
      <c r="J213">
        <v>69</v>
      </c>
      <c r="L213" t="s">
        <v>17</v>
      </c>
      <c r="M213" s="3">
        <f t="shared" si="30"/>
        <v>1.2759995413944125</v>
      </c>
    </row>
    <row r="214" spans="1:13" x14ac:dyDescent="0.25">
      <c r="A214" t="s">
        <v>139</v>
      </c>
      <c r="B214">
        <v>3</v>
      </c>
      <c r="C214" t="s">
        <v>13</v>
      </c>
      <c r="D214" t="s">
        <v>144</v>
      </c>
      <c r="E214" t="s">
        <v>145</v>
      </c>
      <c r="F214" s="1">
        <v>1.3888888888888888E-5</v>
      </c>
      <c r="G214" t="s">
        <v>16</v>
      </c>
      <c r="H214">
        <v>2</v>
      </c>
      <c r="I214">
        <v>67</v>
      </c>
      <c r="J214">
        <v>69</v>
      </c>
      <c r="L214" t="s">
        <v>17</v>
      </c>
      <c r="M214" s="3">
        <f t="shared" si="30"/>
        <v>1.2099995976313949</v>
      </c>
    </row>
    <row r="215" spans="1:13" x14ac:dyDescent="0.25">
      <c r="A215" t="s">
        <v>139</v>
      </c>
      <c r="B215">
        <v>4</v>
      </c>
      <c r="C215" t="s">
        <v>13</v>
      </c>
      <c r="D215" t="s">
        <v>146</v>
      </c>
      <c r="E215" t="s">
        <v>147</v>
      </c>
      <c r="F215" s="1">
        <v>1.2731481481481482E-5</v>
      </c>
      <c r="G215" t="s">
        <v>16</v>
      </c>
      <c r="H215">
        <v>2</v>
      </c>
      <c r="I215">
        <v>67</v>
      </c>
      <c r="J215">
        <v>69</v>
      </c>
      <c r="L215" t="s">
        <v>17</v>
      </c>
      <c r="M215" s="3">
        <f t="shared" si="30"/>
        <v>1.1369997169822454</v>
      </c>
    </row>
    <row r="216" spans="1:13" x14ac:dyDescent="0.25">
      <c r="A216" t="s">
        <v>139</v>
      </c>
      <c r="B216">
        <v>5</v>
      </c>
      <c r="C216" t="s">
        <v>13</v>
      </c>
      <c r="D216" t="s">
        <v>148</v>
      </c>
      <c r="E216" t="s">
        <v>149</v>
      </c>
      <c r="F216" s="1">
        <v>1.5046296296296297E-5</v>
      </c>
      <c r="G216" t="s">
        <v>16</v>
      </c>
      <c r="H216">
        <v>2</v>
      </c>
      <c r="I216">
        <v>67</v>
      </c>
      <c r="J216">
        <v>69</v>
      </c>
      <c r="L216" t="s">
        <v>17</v>
      </c>
      <c r="M216" s="3">
        <f t="shared" si="30"/>
        <v>1.2499995063990355</v>
      </c>
    </row>
    <row r="217" spans="1:13" x14ac:dyDescent="0.25">
      <c r="A217" t="s">
        <v>139</v>
      </c>
      <c r="B217">
        <v>6</v>
      </c>
      <c r="C217" t="s">
        <v>13</v>
      </c>
      <c r="D217" t="s">
        <v>150</v>
      </c>
      <c r="E217" t="s">
        <v>151</v>
      </c>
      <c r="F217" s="1">
        <v>1.2731481481481482E-5</v>
      </c>
      <c r="G217" t="s">
        <v>16</v>
      </c>
      <c r="H217">
        <v>2</v>
      </c>
      <c r="I217">
        <v>67</v>
      </c>
      <c r="J217">
        <v>69</v>
      </c>
      <c r="L217" t="s">
        <v>17</v>
      </c>
      <c r="M217" s="3">
        <f t="shared" si="30"/>
        <v>1.1320001212880015</v>
      </c>
    </row>
    <row r="218" spans="1:13" x14ac:dyDescent="0.25">
      <c r="A218" t="s">
        <v>139</v>
      </c>
      <c r="B218">
        <v>7</v>
      </c>
      <c r="C218" t="s">
        <v>13</v>
      </c>
      <c r="D218" t="s">
        <v>152</v>
      </c>
      <c r="E218" t="s">
        <v>153</v>
      </c>
      <c r="F218" s="1">
        <v>1.5046296296296297E-5</v>
      </c>
      <c r="G218" t="s">
        <v>16</v>
      </c>
      <c r="H218">
        <v>2</v>
      </c>
      <c r="I218">
        <v>67</v>
      </c>
      <c r="J218">
        <v>69</v>
      </c>
      <c r="L218" t="s">
        <v>17</v>
      </c>
      <c r="M218" s="3">
        <f t="shared" si="30"/>
        <v>1.2519998475909233</v>
      </c>
    </row>
    <row r="219" spans="1:13" x14ac:dyDescent="0.25">
      <c r="A219" t="s">
        <v>139</v>
      </c>
      <c r="B219">
        <v>8</v>
      </c>
      <c r="C219" t="s">
        <v>13</v>
      </c>
      <c r="D219" t="s">
        <v>154</v>
      </c>
      <c r="E219" t="s">
        <v>155</v>
      </c>
      <c r="F219" s="1">
        <v>1.3888888888888888E-5</v>
      </c>
      <c r="G219" t="s">
        <v>16</v>
      </c>
      <c r="H219">
        <v>2</v>
      </c>
      <c r="I219">
        <v>67</v>
      </c>
      <c r="J219">
        <v>69</v>
      </c>
      <c r="L219" t="s">
        <v>17</v>
      </c>
      <c r="M219" s="3">
        <f t="shared" si="30"/>
        <v>1.2250002706423402</v>
      </c>
    </row>
    <row r="220" spans="1:13" x14ac:dyDescent="0.25">
      <c r="A220" t="s">
        <v>139</v>
      </c>
      <c r="B220">
        <v>9</v>
      </c>
      <c r="C220" t="s">
        <v>13</v>
      </c>
      <c r="D220" t="s">
        <v>156</v>
      </c>
      <c r="E220" t="s">
        <v>157</v>
      </c>
      <c r="F220" s="1">
        <v>1.5046296296296297E-5</v>
      </c>
      <c r="G220" t="s">
        <v>16</v>
      </c>
      <c r="H220">
        <v>2</v>
      </c>
      <c r="I220">
        <v>67</v>
      </c>
      <c r="J220">
        <v>69</v>
      </c>
      <c r="L220" t="s">
        <v>17</v>
      </c>
      <c r="M220" s="3">
        <f t="shared" si="30"/>
        <v>1.343000284396112</v>
      </c>
    </row>
    <row r="221" spans="1:13" x14ac:dyDescent="0.25">
      <c r="A221" t="s">
        <v>139</v>
      </c>
      <c r="B221">
        <v>10</v>
      </c>
      <c r="C221" t="s">
        <v>13</v>
      </c>
      <c r="D221" t="s">
        <v>158</v>
      </c>
      <c r="E221" t="s">
        <v>159</v>
      </c>
      <c r="F221" s="1">
        <v>1.9675925925925925E-5</v>
      </c>
      <c r="G221" t="s">
        <v>16</v>
      </c>
      <c r="H221">
        <v>2</v>
      </c>
      <c r="I221">
        <v>67</v>
      </c>
      <c r="J221">
        <v>69</v>
      </c>
      <c r="L221" t="s">
        <v>17</v>
      </c>
      <c r="M221" s="3">
        <f t="shared" si="30"/>
        <v>1.0729994857683778</v>
      </c>
    </row>
    <row r="222" spans="1:13" x14ac:dyDescent="0.25">
      <c r="A222" t="s">
        <v>139</v>
      </c>
      <c r="B222">
        <v>1</v>
      </c>
      <c r="C222" t="s">
        <v>36</v>
      </c>
      <c r="D222" t="s">
        <v>160</v>
      </c>
      <c r="E222" t="s">
        <v>161</v>
      </c>
      <c r="F222" s="1">
        <v>1.5046296296296297E-5</v>
      </c>
      <c r="G222" t="s">
        <v>16</v>
      </c>
      <c r="H222">
        <v>2</v>
      </c>
      <c r="I222">
        <v>161</v>
      </c>
      <c r="J222">
        <v>163</v>
      </c>
      <c r="L222" t="s">
        <v>17</v>
      </c>
      <c r="M222" s="3">
        <f t="shared" si="30"/>
        <v>1.2519998475909233</v>
      </c>
    </row>
    <row r="223" spans="1:13" x14ac:dyDescent="0.25">
      <c r="A223" t="s">
        <v>139</v>
      </c>
      <c r="B223">
        <v>2</v>
      </c>
      <c r="C223" t="s">
        <v>36</v>
      </c>
      <c r="D223" t="s">
        <v>162</v>
      </c>
      <c r="E223" t="s">
        <v>163</v>
      </c>
      <c r="F223" s="1">
        <v>1.8518518518518518E-5</v>
      </c>
      <c r="G223" t="s">
        <v>16</v>
      </c>
      <c r="H223">
        <v>2</v>
      </c>
      <c r="I223">
        <v>161</v>
      </c>
      <c r="J223">
        <v>163</v>
      </c>
      <c r="L223" t="s">
        <v>17</v>
      </c>
      <c r="M223" s="3">
        <f t="shared" si="30"/>
        <v>1.5640002675354481</v>
      </c>
    </row>
    <row r="224" spans="1:13" x14ac:dyDescent="0.25">
      <c r="A224" t="s">
        <v>139</v>
      </c>
      <c r="B224">
        <v>3</v>
      </c>
      <c r="C224" t="s">
        <v>36</v>
      </c>
      <c r="D224" t="s">
        <v>164</v>
      </c>
      <c r="E224" t="s">
        <v>165</v>
      </c>
      <c r="F224" s="1">
        <v>1.5046296296296297E-5</v>
      </c>
      <c r="G224" t="s">
        <v>16</v>
      </c>
      <c r="H224">
        <v>2</v>
      </c>
      <c r="I224">
        <v>161</v>
      </c>
      <c r="J224">
        <v>163</v>
      </c>
      <c r="L224" t="s">
        <v>17</v>
      </c>
      <c r="M224" s="3">
        <f t="shared" si="30"/>
        <v>1.3109998544678092</v>
      </c>
    </row>
    <row r="225" spans="1:13" x14ac:dyDescent="0.25">
      <c r="A225" t="s">
        <v>139</v>
      </c>
      <c r="B225">
        <v>4</v>
      </c>
      <c r="C225" t="s">
        <v>36</v>
      </c>
      <c r="D225" t="s">
        <v>166</v>
      </c>
      <c r="E225" t="s">
        <v>167</v>
      </c>
      <c r="F225" s="1">
        <v>1.3888888888888888E-5</v>
      </c>
      <c r="G225" t="s">
        <v>16</v>
      </c>
      <c r="H225">
        <v>2</v>
      </c>
      <c r="I225">
        <v>161</v>
      </c>
      <c r="J225">
        <v>163</v>
      </c>
      <c r="L225" t="s">
        <v>17</v>
      </c>
      <c r="M225" s="3">
        <f t="shared" si="30"/>
        <v>1.1950001819059253</v>
      </c>
    </row>
    <row r="226" spans="1:13" x14ac:dyDescent="0.25">
      <c r="A226" t="s">
        <v>139</v>
      </c>
      <c r="B226">
        <v>5</v>
      </c>
      <c r="C226" t="s">
        <v>36</v>
      </c>
      <c r="D226" t="s">
        <v>168</v>
      </c>
      <c r="E226" t="s">
        <v>169</v>
      </c>
      <c r="F226" s="1">
        <v>1.3888888888888888E-5</v>
      </c>
      <c r="G226" t="s">
        <v>16</v>
      </c>
      <c r="H226">
        <v>2</v>
      </c>
      <c r="I226">
        <v>161</v>
      </c>
      <c r="J226">
        <v>163</v>
      </c>
      <c r="L226" t="s">
        <v>17</v>
      </c>
      <c r="M226" s="3">
        <f t="shared" si="30"/>
        <v>1.1789999669417739</v>
      </c>
    </row>
    <row r="227" spans="1:13" x14ac:dyDescent="0.25">
      <c r="A227" t="s">
        <v>139</v>
      </c>
      <c r="B227">
        <v>6</v>
      </c>
      <c r="C227" t="s">
        <v>36</v>
      </c>
      <c r="D227" t="s">
        <v>170</v>
      </c>
      <c r="E227" t="s">
        <v>171</v>
      </c>
      <c r="F227" s="1">
        <v>1.5046296296296297E-5</v>
      </c>
      <c r="G227" t="s">
        <v>16</v>
      </c>
      <c r="H227">
        <v>2</v>
      </c>
      <c r="I227">
        <v>161</v>
      </c>
      <c r="J227">
        <v>163</v>
      </c>
      <c r="L227" t="s">
        <v>17</v>
      </c>
      <c r="M227" s="3">
        <f t="shared" si="30"/>
        <v>1.2760001700371504</v>
      </c>
    </row>
    <row r="228" spans="1:13" x14ac:dyDescent="0.25">
      <c r="A228" t="s">
        <v>139</v>
      </c>
      <c r="B228">
        <v>7</v>
      </c>
      <c r="C228" t="s">
        <v>36</v>
      </c>
      <c r="D228" t="s">
        <v>172</v>
      </c>
      <c r="E228" t="s">
        <v>173</v>
      </c>
      <c r="F228" s="1">
        <v>1.6203703703703704E-5</v>
      </c>
      <c r="G228" t="s">
        <v>16</v>
      </c>
      <c r="H228">
        <v>2</v>
      </c>
      <c r="I228">
        <v>161</v>
      </c>
      <c r="J228">
        <v>163</v>
      </c>
      <c r="L228" t="s">
        <v>17</v>
      </c>
      <c r="M228" s="3">
        <f t="shared" si="30"/>
        <v>1.3979996088892221</v>
      </c>
    </row>
    <row r="229" spans="1:13" x14ac:dyDescent="0.25">
      <c r="A229" t="s">
        <v>139</v>
      </c>
      <c r="B229">
        <v>8</v>
      </c>
      <c r="C229" t="s">
        <v>36</v>
      </c>
      <c r="D229" t="s">
        <v>174</v>
      </c>
      <c r="E229" t="s">
        <v>175</v>
      </c>
      <c r="F229" s="1">
        <v>1.3888888888888888E-5</v>
      </c>
      <c r="G229" t="s">
        <v>16</v>
      </c>
      <c r="H229">
        <v>2</v>
      </c>
      <c r="I229">
        <v>161</v>
      </c>
      <c r="J229">
        <v>163</v>
      </c>
      <c r="L229" t="s">
        <v>17</v>
      </c>
      <c r="M229" s="3">
        <f t="shared" si="30"/>
        <v>1.1880002450197935</v>
      </c>
    </row>
    <row r="230" spans="1:13" x14ac:dyDescent="0.25">
      <c r="A230" t="s">
        <v>139</v>
      </c>
      <c r="B230">
        <v>9</v>
      </c>
      <c r="C230" t="s">
        <v>36</v>
      </c>
      <c r="D230" t="s">
        <v>176</v>
      </c>
      <c r="E230" t="s">
        <v>177</v>
      </c>
      <c r="F230" s="1">
        <v>2.199074074074074E-5</v>
      </c>
      <c r="G230" t="s">
        <v>16</v>
      </c>
      <c r="H230">
        <v>2</v>
      </c>
      <c r="I230">
        <v>161</v>
      </c>
      <c r="J230">
        <v>163</v>
      </c>
      <c r="L230" t="s">
        <v>17</v>
      </c>
      <c r="M230" s="3">
        <f t="shared" si="30"/>
        <v>1.0899998713284731</v>
      </c>
    </row>
    <row r="231" spans="1:13" x14ac:dyDescent="0.25">
      <c r="A231" t="s">
        <v>139</v>
      </c>
      <c r="B231">
        <v>10</v>
      </c>
      <c r="C231" t="s">
        <v>36</v>
      </c>
      <c r="D231" t="s">
        <v>178</v>
      </c>
      <c r="E231" t="s">
        <v>179</v>
      </c>
      <c r="F231" s="1">
        <v>1.5046296296296297E-5</v>
      </c>
      <c r="G231" t="s">
        <v>16</v>
      </c>
      <c r="H231">
        <v>2</v>
      </c>
      <c r="I231">
        <v>161</v>
      </c>
      <c r="J231">
        <v>163</v>
      </c>
      <c r="L231" t="s">
        <v>17</v>
      </c>
      <c r="M231" s="3">
        <f t="shared" si="30"/>
        <v>1.2880003312602639</v>
      </c>
    </row>
    <row r="232" spans="1:13" x14ac:dyDescent="0.25">
      <c r="A232" t="s">
        <v>139</v>
      </c>
      <c r="B232">
        <v>1</v>
      </c>
      <c r="C232" t="s">
        <v>57</v>
      </c>
      <c r="D232" t="s">
        <v>180</v>
      </c>
      <c r="E232" t="s">
        <v>181</v>
      </c>
      <c r="F232" s="1">
        <v>1.3888888888888888E-5</v>
      </c>
      <c r="G232" t="s">
        <v>16</v>
      </c>
      <c r="H232">
        <v>2</v>
      </c>
      <c r="I232">
        <v>94</v>
      </c>
      <c r="J232">
        <v>96</v>
      </c>
      <c r="L232" t="s">
        <v>17</v>
      </c>
      <c r="M232" s="3">
        <f t="shared" si="30"/>
        <v>1.1759994551539421</v>
      </c>
    </row>
    <row r="233" spans="1:13" x14ac:dyDescent="0.25">
      <c r="A233" t="s">
        <v>139</v>
      </c>
      <c r="B233">
        <v>2</v>
      </c>
      <c r="C233" t="s">
        <v>57</v>
      </c>
      <c r="D233" t="s">
        <v>182</v>
      </c>
      <c r="E233" t="s">
        <v>183</v>
      </c>
      <c r="F233" s="1">
        <v>1.3888888888888888E-5</v>
      </c>
      <c r="G233" t="s">
        <v>16</v>
      </c>
      <c r="H233">
        <v>2</v>
      </c>
      <c r="I233">
        <v>94</v>
      </c>
      <c r="J233">
        <v>96</v>
      </c>
      <c r="L233" t="s">
        <v>17</v>
      </c>
      <c r="M233" s="3">
        <f t="shared" si="30"/>
        <v>1.1669998057186604</v>
      </c>
    </row>
    <row r="234" spans="1:13" x14ac:dyDescent="0.25">
      <c r="A234" t="s">
        <v>139</v>
      </c>
      <c r="B234">
        <v>3</v>
      </c>
      <c r="C234" t="s">
        <v>57</v>
      </c>
      <c r="D234" t="s">
        <v>184</v>
      </c>
      <c r="E234" t="s">
        <v>185</v>
      </c>
      <c r="F234" s="1">
        <v>1.3888888888888888E-5</v>
      </c>
      <c r="G234" t="s">
        <v>16</v>
      </c>
      <c r="H234">
        <v>2</v>
      </c>
      <c r="I234">
        <v>94</v>
      </c>
      <c r="J234">
        <v>96</v>
      </c>
      <c r="L234" t="s">
        <v>17</v>
      </c>
      <c r="M234" s="3">
        <f t="shared" si="30"/>
        <v>1.2080005137249827</v>
      </c>
    </row>
    <row r="235" spans="1:13" x14ac:dyDescent="0.25">
      <c r="A235" t="s">
        <v>139</v>
      </c>
      <c r="B235">
        <v>4</v>
      </c>
      <c r="C235" t="s">
        <v>57</v>
      </c>
      <c r="D235" t="s">
        <v>186</v>
      </c>
      <c r="E235" t="s">
        <v>187</v>
      </c>
      <c r="F235" s="1">
        <v>1.2731481481481482E-5</v>
      </c>
      <c r="G235" t="s">
        <v>16</v>
      </c>
      <c r="H235">
        <v>2</v>
      </c>
      <c r="I235">
        <v>94</v>
      </c>
      <c r="J235">
        <v>96</v>
      </c>
      <c r="L235" t="s">
        <v>17</v>
      </c>
      <c r="M235" s="3">
        <f t="shared" si="30"/>
        <v>1.1149997357279062</v>
      </c>
    </row>
    <row r="236" spans="1:13" x14ac:dyDescent="0.25">
      <c r="A236" t="s">
        <v>139</v>
      </c>
      <c r="B236">
        <v>5</v>
      </c>
      <c r="C236" t="s">
        <v>57</v>
      </c>
      <c r="D236" t="s">
        <v>188</v>
      </c>
      <c r="E236" t="s">
        <v>189</v>
      </c>
      <c r="F236" s="1">
        <v>1.3888888888888888E-5</v>
      </c>
      <c r="G236" t="s">
        <v>16</v>
      </c>
      <c r="H236">
        <v>2</v>
      </c>
      <c r="I236">
        <v>94</v>
      </c>
      <c r="J236">
        <v>96</v>
      </c>
      <c r="L236" t="s">
        <v>17</v>
      </c>
      <c r="M236" s="3">
        <f t="shared" si="30"/>
        <v>1.1510002193972468</v>
      </c>
    </row>
    <row r="237" spans="1:13" x14ac:dyDescent="0.25">
      <c r="A237" t="s">
        <v>139</v>
      </c>
      <c r="B237">
        <v>6</v>
      </c>
      <c r="C237" t="s">
        <v>57</v>
      </c>
      <c r="D237" t="s">
        <v>190</v>
      </c>
      <c r="E237" t="s">
        <v>191</v>
      </c>
      <c r="F237" s="1">
        <v>1.9675925925925925E-5</v>
      </c>
      <c r="G237" t="s">
        <v>16</v>
      </c>
      <c r="H237">
        <v>2</v>
      </c>
      <c r="I237">
        <v>94</v>
      </c>
      <c r="J237">
        <v>96</v>
      </c>
      <c r="L237" t="s">
        <v>17</v>
      </c>
      <c r="M237" s="3">
        <f t="shared" si="30"/>
        <v>1.0740002850070596</v>
      </c>
    </row>
    <row r="238" spans="1:13" x14ac:dyDescent="0.25">
      <c r="A238" t="s">
        <v>139</v>
      </c>
      <c r="B238">
        <v>7</v>
      </c>
      <c r="C238" t="s">
        <v>57</v>
      </c>
      <c r="D238" t="s">
        <v>192</v>
      </c>
      <c r="E238" t="s">
        <v>193</v>
      </c>
      <c r="F238" s="1">
        <v>1.2731481481481482E-5</v>
      </c>
      <c r="G238" t="s">
        <v>16</v>
      </c>
      <c r="H238">
        <v>2</v>
      </c>
      <c r="I238">
        <v>94</v>
      </c>
      <c r="J238">
        <v>96</v>
      </c>
      <c r="L238" t="s">
        <v>17</v>
      </c>
      <c r="M238" s="3">
        <f t="shared" si="30"/>
        <v>1.0009997757151723</v>
      </c>
    </row>
    <row r="239" spans="1:13" x14ac:dyDescent="0.25">
      <c r="A239" t="s">
        <v>139</v>
      </c>
      <c r="B239">
        <v>8</v>
      </c>
      <c r="C239" t="s">
        <v>57</v>
      </c>
      <c r="D239" t="s">
        <v>194</v>
      </c>
      <c r="E239" t="s">
        <v>195</v>
      </c>
      <c r="F239" s="1">
        <v>1.2731481481481482E-5</v>
      </c>
      <c r="G239" t="s">
        <v>16</v>
      </c>
      <c r="H239">
        <v>2</v>
      </c>
      <c r="I239">
        <v>94</v>
      </c>
      <c r="J239">
        <v>96</v>
      </c>
      <c r="L239" t="s">
        <v>17</v>
      </c>
      <c r="M239" s="3">
        <f t="shared" si="30"/>
        <v>1.1390000581741333</v>
      </c>
    </row>
    <row r="240" spans="1:13" x14ac:dyDescent="0.25">
      <c r="A240" t="s">
        <v>139</v>
      </c>
      <c r="B240">
        <v>9</v>
      </c>
      <c r="C240" t="s">
        <v>57</v>
      </c>
      <c r="D240" t="s">
        <v>196</v>
      </c>
      <c r="E240" t="s">
        <v>197</v>
      </c>
      <c r="F240" s="1">
        <v>1.3888888888888888E-5</v>
      </c>
      <c r="G240" t="s">
        <v>16</v>
      </c>
      <c r="H240">
        <v>2</v>
      </c>
      <c r="I240">
        <v>94</v>
      </c>
      <c r="J240">
        <v>96</v>
      </c>
      <c r="L240" t="s">
        <v>17</v>
      </c>
      <c r="M240" s="3">
        <f t="shared" si="30"/>
        <v>1.1999997776001692</v>
      </c>
    </row>
    <row r="241" spans="1:13" x14ac:dyDescent="0.25">
      <c r="A241" t="s">
        <v>139</v>
      </c>
      <c r="B241">
        <v>10</v>
      </c>
      <c r="C241" t="s">
        <v>57</v>
      </c>
      <c r="D241" t="s">
        <v>198</v>
      </c>
      <c r="E241" t="s">
        <v>199</v>
      </c>
      <c r="F241" s="1">
        <v>1.3888888888888888E-5</v>
      </c>
      <c r="G241" t="s">
        <v>16</v>
      </c>
      <c r="H241">
        <v>2</v>
      </c>
      <c r="I241">
        <v>94</v>
      </c>
      <c r="J241">
        <v>96</v>
      </c>
      <c r="L241" t="s">
        <v>17</v>
      </c>
      <c r="M241" s="3">
        <f t="shared" si="30"/>
        <v>1.2439997401088476</v>
      </c>
    </row>
    <row r="242" spans="1:13" x14ac:dyDescent="0.25">
      <c r="A242" t="s">
        <v>200</v>
      </c>
      <c r="B242">
        <v>1</v>
      </c>
      <c r="C242" t="s">
        <v>13</v>
      </c>
      <c r="D242" t="s">
        <v>201</v>
      </c>
      <c r="E242" t="s">
        <v>202</v>
      </c>
      <c r="F242" s="1">
        <v>1.5046296296296297E-5</v>
      </c>
      <c r="G242" t="s">
        <v>16</v>
      </c>
      <c r="H242">
        <v>3</v>
      </c>
      <c r="I242">
        <v>67</v>
      </c>
      <c r="J242">
        <v>70</v>
      </c>
      <c r="L242" t="s">
        <v>17</v>
      </c>
      <c r="M242" s="3">
        <f t="shared" si="30"/>
        <v>1.3090001419186592</v>
      </c>
    </row>
    <row r="243" spans="1:13" x14ac:dyDescent="0.25">
      <c r="A243" t="s">
        <v>200</v>
      </c>
      <c r="B243">
        <v>2</v>
      </c>
      <c r="C243" t="s">
        <v>13</v>
      </c>
      <c r="D243" t="s">
        <v>203</v>
      </c>
      <c r="E243" t="s">
        <v>204</v>
      </c>
      <c r="F243" s="1">
        <v>1.9675925925925925E-5</v>
      </c>
      <c r="G243" t="s">
        <v>16</v>
      </c>
      <c r="H243">
        <v>3</v>
      </c>
      <c r="I243">
        <v>67</v>
      </c>
      <c r="J243">
        <v>70</v>
      </c>
      <c r="L243" t="s">
        <v>17</v>
      </c>
      <c r="M243" s="3">
        <f t="shared" si="30"/>
        <v>1.6829998232424259</v>
      </c>
    </row>
    <row r="244" spans="1:13" x14ac:dyDescent="0.25">
      <c r="A244" t="s">
        <v>200</v>
      </c>
      <c r="B244">
        <v>3</v>
      </c>
      <c r="C244" t="s">
        <v>13</v>
      </c>
      <c r="D244" t="s">
        <v>205</v>
      </c>
      <c r="E244" t="s">
        <v>206</v>
      </c>
      <c r="F244" s="1">
        <v>1.5046296296296297E-5</v>
      </c>
      <c r="G244" t="s">
        <v>16</v>
      </c>
      <c r="H244">
        <v>3</v>
      </c>
      <c r="I244">
        <v>67</v>
      </c>
      <c r="J244">
        <v>70</v>
      </c>
      <c r="L244" t="s">
        <v>17</v>
      </c>
      <c r="M244" s="3">
        <f t="shared" si="30"/>
        <v>1.28500044811517</v>
      </c>
    </row>
    <row r="245" spans="1:13" x14ac:dyDescent="0.25">
      <c r="A245" t="s">
        <v>200</v>
      </c>
      <c r="B245">
        <v>4</v>
      </c>
      <c r="C245" t="s">
        <v>13</v>
      </c>
      <c r="D245" t="s">
        <v>207</v>
      </c>
      <c r="E245" t="s">
        <v>208</v>
      </c>
      <c r="F245" s="1">
        <v>2.0833333333333333E-5</v>
      </c>
      <c r="G245" t="s">
        <v>16</v>
      </c>
      <c r="H245">
        <v>3</v>
      </c>
      <c r="I245">
        <v>67</v>
      </c>
      <c r="J245">
        <v>70</v>
      </c>
      <c r="L245" t="s">
        <v>17</v>
      </c>
      <c r="M245" s="3">
        <f t="shared" si="30"/>
        <v>1.763999811373651</v>
      </c>
    </row>
    <row r="246" spans="1:13" x14ac:dyDescent="0.25">
      <c r="A246" t="s">
        <v>200</v>
      </c>
      <c r="B246">
        <v>5</v>
      </c>
      <c r="C246" t="s">
        <v>13</v>
      </c>
      <c r="D246" t="s">
        <v>209</v>
      </c>
      <c r="E246" t="s">
        <v>210</v>
      </c>
      <c r="F246" s="1">
        <v>1.8518518518518518E-5</v>
      </c>
      <c r="G246" t="s">
        <v>16</v>
      </c>
      <c r="H246">
        <v>3</v>
      </c>
      <c r="I246">
        <v>67</v>
      </c>
      <c r="J246">
        <v>70</v>
      </c>
      <c r="L246" t="s">
        <v>17</v>
      </c>
      <c r="M246" s="3">
        <f t="shared" si="30"/>
        <v>1.5850000781938434</v>
      </c>
    </row>
    <row r="247" spans="1:13" x14ac:dyDescent="0.25">
      <c r="A247" t="s">
        <v>200</v>
      </c>
      <c r="B247">
        <v>6</v>
      </c>
      <c r="C247" t="s">
        <v>13</v>
      </c>
      <c r="D247" t="s">
        <v>211</v>
      </c>
      <c r="E247" t="s">
        <v>212</v>
      </c>
      <c r="F247" s="1">
        <v>1.5046296296296297E-5</v>
      </c>
      <c r="G247" t="s">
        <v>16</v>
      </c>
      <c r="H247">
        <v>3</v>
      </c>
      <c r="I247">
        <v>67</v>
      </c>
      <c r="J247">
        <v>70</v>
      </c>
      <c r="L247" t="s">
        <v>17</v>
      </c>
      <c r="M247" s="3">
        <f t="shared" si="30"/>
        <v>1.28700016066432</v>
      </c>
    </row>
    <row r="248" spans="1:13" x14ac:dyDescent="0.25">
      <c r="A248" t="s">
        <v>200</v>
      </c>
      <c r="B248">
        <v>7</v>
      </c>
      <c r="C248" t="s">
        <v>13</v>
      </c>
      <c r="D248" t="s">
        <v>213</v>
      </c>
      <c r="E248" t="s">
        <v>214</v>
      </c>
      <c r="F248" s="1">
        <v>1.9675925925925925E-5</v>
      </c>
      <c r="G248" t="s">
        <v>16</v>
      </c>
      <c r="H248">
        <v>3</v>
      </c>
      <c r="I248">
        <v>67</v>
      </c>
      <c r="J248">
        <v>70</v>
      </c>
      <c r="L248" t="s">
        <v>17</v>
      </c>
      <c r="M248" s="3">
        <f t="shared" si="30"/>
        <v>1.6700001200661063</v>
      </c>
    </row>
    <row r="249" spans="1:13" x14ac:dyDescent="0.25">
      <c r="A249" t="s">
        <v>200</v>
      </c>
      <c r="B249">
        <v>8</v>
      </c>
      <c r="C249" t="s">
        <v>13</v>
      </c>
      <c r="D249" t="s">
        <v>215</v>
      </c>
      <c r="E249" t="s">
        <v>216</v>
      </c>
      <c r="F249" s="1">
        <v>1.5046296296296297E-5</v>
      </c>
      <c r="G249" t="s">
        <v>16</v>
      </c>
      <c r="H249">
        <v>3</v>
      </c>
      <c r="I249">
        <v>67</v>
      </c>
      <c r="J249">
        <v>70</v>
      </c>
      <c r="L249" t="s">
        <v>17</v>
      </c>
      <c r="M249" s="3">
        <f t="shared" si="30"/>
        <v>1.3020002050325274</v>
      </c>
    </row>
    <row r="250" spans="1:13" x14ac:dyDescent="0.25">
      <c r="A250" t="s">
        <v>200</v>
      </c>
      <c r="B250">
        <v>9</v>
      </c>
      <c r="C250" t="s">
        <v>13</v>
      </c>
      <c r="D250" t="s">
        <v>217</v>
      </c>
      <c r="E250" t="s">
        <v>218</v>
      </c>
      <c r="F250" s="1">
        <v>1.3888888888888888E-5</v>
      </c>
      <c r="G250" t="s">
        <v>16</v>
      </c>
      <c r="H250">
        <v>3</v>
      </c>
      <c r="I250">
        <v>67</v>
      </c>
      <c r="J250">
        <v>70</v>
      </c>
      <c r="L250" t="s">
        <v>17</v>
      </c>
      <c r="M250" s="3">
        <f t="shared" si="30"/>
        <v>1.2460000813007355</v>
      </c>
    </row>
    <row r="251" spans="1:13" x14ac:dyDescent="0.25">
      <c r="A251" t="s">
        <v>200</v>
      </c>
      <c r="B251">
        <v>10</v>
      </c>
      <c r="C251" t="s">
        <v>13</v>
      </c>
      <c r="D251" t="s">
        <v>219</v>
      </c>
      <c r="E251" t="s">
        <v>220</v>
      </c>
      <c r="F251" s="1">
        <v>1.6203703703703704E-5</v>
      </c>
      <c r="G251" t="s">
        <v>16</v>
      </c>
      <c r="H251">
        <v>3</v>
      </c>
      <c r="I251">
        <v>67</v>
      </c>
      <c r="J251">
        <v>70</v>
      </c>
      <c r="L251" t="s">
        <v>17</v>
      </c>
      <c r="M251" s="3">
        <f t="shared" si="30"/>
        <v>1.3589998707175255</v>
      </c>
    </row>
    <row r="252" spans="1:13" x14ac:dyDescent="0.25">
      <c r="A252" t="s">
        <v>200</v>
      </c>
      <c r="B252">
        <v>1</v>
      </c>
      <c r="C252" t="s">
        <v>36</v>
      </c>
      <c r="D252" t="s">
        <v>221</v>
      </c>
      <c r="E252" t="s">
        <v>222</v>
      </c>
      <c r="F252" s="1">
        <v>1.6203703703703704E-5</v>
      </c>
      <c r="G252" t="s">
        <v>16</v>
      </c>
      <c r="H252">
        <v>3</v>
      </c>
      <c r="I252">
        <v>139</v>
      </c>
      <c r="J252">
        <v>142</v>
      </c>
      <c r="L252" t="s">
        <v>17</v>
      </c>
      <c r="M252" s="3">
        <f t="shared" si="30"/>
        <v>1.4169997069984674</v>
      </c>
    </row>
    <row r="253" spans="1:13" x14ac:dyDescent="0.25">
      <c r="A253" t="s">
        <v>200</v>
      </c>
      <c r="B253">
        <v>2</v>
      </c>
      <c r="C253" t="s">
        <v>36</v>
      </c>
      <c r="D253" t="s">
        <v>223</v>
      </c>
      <c r="E253" t="s">
        <v>224</v>
      </c>
      <c r="F253" s="1">
        <v>1.5046296296296297E-5</v>
      </c>
      <c r="G253" t="s">
        <v>16</v>
      </c>
      <c r="H253">
        <v>3</v>
      </c>
      <c r="I253">
        <v>139</v>
      </c>
      <c r="J253">
        <v>142</v>
      </c>
      <c r="L253" t="s">
        <v>17</v>
      </c>
      <c r="M253" s="3">
        <f t="shared" si="30"/>
        <v>1.3440004549920559</v>
      </c>
    </row>
    <row r="254" spans="1:13" x14ac:dyDescent="0.25">
      <c r="A254" t="s">
        <v>200</v>
      </c>
      <c r="B254">
        <v>3</v>
      </c>
      <c r="C254" t="s">
        <v>36</v>
      </c>
      <c r="D254" t="s">
        <v>225</v>
      </c>
      <c r="E254" t="s">
        <v>226</v>
      </c>
      <c r="F254" s="1">
        <v>1.5046296296296297E-5</v>
      </c>
      <c r="G254" t="s">
        <v>16</v>
      </c>
      <c r="H254">
        <v>3</v>
      </c>
      <c r="I254">
        <v>139</v>
      </c>
      <c r="J254">
        <v>142</v>
      </c>
      <c r="L254" t="s">
        <v>17</v>
      </c>
      <c r="M254" s="3">
        <f t="shared" si="30"/>
        <v>1.2680000625550747</v>
      </c>
    </row>
    <row r="255" spans="1:13" x14ac:dyDescent="0.25">
      <c r="A255" t="s">
        <v>200</v>
      </c>
      <c r="B255">
        <v>4</v>
      </c>
      <c r="C255" t="s">
        <v>36</v>
      </c>
      <c r="D255" t="s">
        <v>227</v>
      </c>
      <c r="E255" t="s">
        <v>228</v>
      </c>
      <c r="F255" s="1">
        <v>2.199074074074074E-5</v>
      </c>
      <c r="G255" t="s">
        <v>16</v>
      </c>
      <c r="H255">
        <v>3</v>
      </c>
      <c r="I255">
        <v>139</v>
      </c>
      <c r="J255">
        <v>142</v>
      </c>
      <c r="L255" t="s">
        <v>17</v>
      </c>
      <c r="M255" s="3">
        <f t="shared" si="30"/>
        <v>1.934999437071383</v>
      </c>
    </row>
    <row r="256" spans="1:13" x14ac:dyDescent="0.25">
      <c r="A256" t="s">
        <v>200</v>
      </c>
      <c r="B256">
        <v>5</v>
      </c>
      <c r="C256" t="s">
        <v>36</v>
      </c>
      <c r="D256" t="s">
        <v>229</v>
      </c>
      <c r="E256" t="s">
        <v>230</v>
      </c>
      <c r="F256" s="1">
        <v>1.5046296296296297E-5</v>
      </c>
      <c r="G256" t="s">
        <v>16</v>
      </c>
      <c r="H256">
        <v>3</v>
      </c>
      <c r="I256">
        <v>139</v>
      </c>
      <c r="J256">
        <v>142</v>
      </c>
      <c r="L256" t="s">
        <v>17</v>
      </c>
      <c r="M256" s="3">
        <f t="shared" si="30"/>
        <v>1.3240001862868667</v>
      </c>
    </row>
    <row r="257" spans="1:13" x14ac:dyDescent="0.25">
      <c r="A257" t="s">
        <v>200</v>
      </c>
      <c r="B257">
        <v>6</v>
      </c>
      <c r="C257" t="s">
        <v>36</v>
      </c>
      <c r="D257" t="s">
        <v>231</v>
      </c>
      <c r="E257" t="s">
        <v>232</v>
      </c>
      <c r="F257" s="1">
        <v>1.3888888888888888E-5</v>
      </c>
      <c r="G257" t="s">
        <v>16</v>
      </c>
      <c r="H257">
        <v>3</v>
      </c>
      <c r="I257">
        <v>139</v>
      </c>
      <c r="J257">
        <v>142</v>
      </c>
      <c r="L257" t="s">
        <v>17</v>
      </c>
      <c r="M257" s="3">
        <f t="shared" si="30"/>
        <v>1.2060001725330949</v>
      </c>
    </row>
    <row r="258" spans="1:13" x14ac:dyDescent="0.25">
      <c r="A258" t="s">
        <v>200</v>
      </c>
      <c r="B258">
        <v>7</v>
      </c>
      <c r="C258" t="s">
        <v>36</v>
      </c>
      <c r="D258" t="s">
        <v>233</v>
      </c>
      <c r="E258" t="s">
        <v>234</v>
      </c>
      <c r="F258" s="1">
        <v>1.7361111111111111E-5</v>
      </c>
      <c r="G258" t="s">
        <v>16</v>
      </c>
      <c r="H258">
        <v>3</v>
      </c>
      <c r="I258">
        <v>139</v>
      </c>
      <c r="J258">
        <v>142</v>
      </c>
      <c r="L258" t="s">
        <v>17</v>
      </c>
      <c r="M258" s="3">
        <f t="shared" si="30"/>
        <v>1.4860001625493169</v>
      </c>
    </row>
    <row r="259" spans="1:13" x14ac:dyDescent="0.25">
      <c r="A259" t="s">
        <v>200</v>
      </c>
      <c r="B259">
        <v>8</v>
      </c>
      <c r="C259" t="s">
        <v>36</v>
      </c>
      <c r="D259" t="s">
        <v>235</v>
      </c>
      <c r="E259" t="s">
        <v>236</v>
      </c>
      <c r="F259" s="1">
        <v>2.6620370370370369E-5</v>
      </c>
      <c r="G259" t="s">
        <v>16</v>
      </c>
      <c r="H259">
        <v>3</v>
      </c>
      <c r="I259">
        <v>139</v>
      </c>
      <c r="J259">
        <v>142</v>
      </c>
      <c r="L259" t="s">
        <v>17</v>
      </c>
      <c r="M259" s="3">
        <f t="shared" ref="M259:M301" si="31">(SUBSTITUTE(LEFT(E259,23),"T"," ")-SUBSTITUTE(LEFT(D259,23),"T"," "))*86400</f>
        <v>2.296000043861568</v>
      </c>
    </row>
    <row r="260" spans="1:13" x14ac:dyDescent="0.25">
      <c r="A260" t="s">
        <v>200</v>
      </c>
      <c r="B260">
        <v>9</v>
      </c>
      <c r="C260" t="s">
        <v>36</v>
      </c>
      <c r="D260" t="s">
        <v>237</v>
      </c>
      <c r="E260" t="s">
        <v>238</v>
      </c>
      <c r="F260" s="1">
        <v>1.5046296296296297E-5</v>
      </c>
      <c r="G260" t="s">
        <v>16</v>
      </c>
      <c r="H260">
        <v>3</v>
      </c>
      <c r="I260">
        <v>139</v>
      </c>
      <c r="J260">
        <v>142</v>
      </c>
      <c r="L260" t="s">
        <v>17</v>
      </c>
      <c r="M260" s="3">
        <f t="shared" si="31"/>
        <v>1.3090001419186592</v>
      </c>
    </row>
    <row r="261" spans="1:13" x14ac:dyDescent="0.25">
      <c r="A261" t="s">
        <v>200</v>
      </c>
      <c r="B261">
        <v>10</v>
      </c>
      <c r="C261" t="s">
        <v>36</v>
      </c>
      <c r="D261" t="s">
        <v>239</v>
      </c>
      <c r="E261" t="s">
        <v>240</v>
      </c>
      <c r="F261" s="1">
        <v>1.5046296296296297E-5</v>
      </c>
      <c r="G261" t="s">
        <v>16</v>
      </c>
      <c r="H261">
        <v>3</v>
      </c>
      <c r="I261">
        <v>139</v>
      </c>
      <c r="J261">
        <v>142</v>
      </c>
      <c r="L261" t="s">
        <v>17</v>
      </c>
      <c r="M261" s="3">
        <f t="shared" si="31"/>
        <v>1.3440004549920559</v>
      </c>
    </row>
    <row r="262" spans="1:13" x14ac:dyDescent="0.25">
      <c r="A262" t="s">
        <v>200</v>
      </c>
      <c r="B262">
        <v>1</v>
      </c>
      <c r="C262" t="s">
        <v>57</v>
      </c>
      <c r="D262" t="s">
        <v>241</v>
      </c>
      <c r="E262" t="s">
        <v>242</v>
      </c>
      <c r="F262" s="1">
        <v>1.3888888888888888E-5</v>
      </c>
      <c r="G262" t="s">
        <v>16</v>
      </c>
      <c r="H262">
        <v>3</v>
      </c>
      <c r="I262">
        <v>101</v>
      </c>
      <c r="J262">
        <v>104</v>
      </c>
      <c r="L262" t="s">
        <v>17</v>
      </c>
      <c r="M262" s="3">
        <f t="shared" si="31"/>
        <v>1.2469996232539415</v>
      </c>
    </row>
    <row r="263" spans="1:13" x14ac:dyDescent="0.25">
      <c r="A263" t="s">
        <v>200</v>
      </c>
      <c r="B263">
        <v>2</v>
      </c>
      <c r="C263" t="s">
        <v>57</v>
      </c>
      <c r="D263" t="s">
        <v>243</v>
      </c>
      <c r="E263" t="s">
        <v>244</v>
      </c>
      <c r="F263" s="1">
        <v>2.3148148148148147E-5</v>
      </c>
      <c r="G263" t="s">
        <v>16</v>
      </c>
      <c r="H263">
        <v>3</v>
      </c>
      <c r="I263">
        <v>101</v>
      </c>
      <c r="J263">
        <v>104</v>
      </c>
      <c r="L263" t="s">
        <v>17</v>
      </c>
      <c r="M263" s="3">
        <f t="shared" si="31"/>
        <v>1.988999848254025</v>
      </c>
    </row>
    <row r="264" spans="1:13" x14ac:dyDescent="0.25">
      <c r="A264" t="s">
        <v>200</v>
      </c>
      <c r="B264">
        <v>3</v>
      </c>
      <c r="C264" t="s">
        <v>57</v>
      </c>
      <c r="D264" t="s">
        <v>245</v>
      </c>
      <c r="E264" t="s">
        <v>246</v>
      </c>
      <c r="F264" s="1">
        <v>1.2731481481481482E-5</v>
      </c>
      <c r="G264" t="s">
        <v>16</v>
      </c>
      <c r="H264">
        <v>3</v>
      </c>
      <c r="I264">
        <v>101</v>
      </c>
      <c r="J264">
        <v>104</v>
      </c>
      <c r="L264" t="s">
        <v>17</v>
      </c>
      <c r="M264" s="3">
        <f t="shared" si="31"/>
        <v>1.1139995651319623</v>
      </c>
    </row>
    <row r="265" spans="1:13" x14ac:dyDescent="0.25">
      <c r="A265" t="s">
        <v>200</v>
      </c>
      <c r="B265">
        <v>4</v>
      </c>
      <c r="C265" t="s">
        <v>57</v>
      </c>
      <c r="D265" t="s">
        <v>247</v>
      </c>
      <c r="E265" t="s">
        <v>248</v>
      </c>
      <c r="F265" s="1">
        <v>1.6203703703703704E-5</v>
      </c>
      <c r="G265" t="s">
        <v>16</v>
      </c>
      <c r="H265">
        <v>3</v>
      </c>
      <c r="I265">
        <v>101</v>
      </c>
      <c r="J265">
        <v>104</v>
      </c>
      <c r="L265" t="s">
        <v>17</v>
      </c>
      <c r="M265" s="3">
        <f t="shared" si="31"/>
        <v>1.3920004712417722</v>
      </c>
    </row>
    <row r="266" spans="1:13" x14ac:dyDescent="0.25">
      <c r="A266" t="s">
        <v>200</v>
      </c>
      <c r="B266">
        <v>5</v>
      </c>
      <c r="C266" t="s">
        <v>57</v>
      </c>
      <c r="D266" t="s">
        <v>249</v>
      </c>
      <c r="E266" t="s">
        <v>250</v>
      </c>
      <c r="F266" s="1">
        <v>1.6203703703703704E-5</v>
      </c>
      <c r="G266" t="s">
        <v>16</v>
      </c>
      <c r="H266">
        <v>3</v>
      </c>
      <c r="I266">
        <v>101</v>
      </c>
      <c r="J266">
        <v>104</v>
      </c>
      <c r="L266" t="s">
        <v>17</v>
      </c>
      <c r="M266" s="3">
        <f t="shared" si="31"/>
        <v>1.4450000831857324</v>
      </c>
    </row>
    <row r="267" spans="1:13" x14ac:dyDescent="0.25">
      <c r="A267" t="s">
        <v>200</v>
      </c>
      <c r="B267">
        <v>6</v>
      </c>
      <c r="C267" t="s">
        <v>57</v>
      </c>
      <c r="D267" t="s">
        <v>251</v>
      </c>
      <c r="E267" t="s">
        <v>252</v>
      </c>
      <c r="F267" s="1">
        <v>1.3888888888888888E-5</v>
      </c>
      <c r="G267" t="s">
        <v>16</v>
      </c>
      <c r="H267">
        <v>3</v>
      </c>
      <c r="I267">
        <v>101</v>
      </c>
      <c r="J267">
        <v>104</v>
      </c>
      <c r="L267" t="s">
        <v>17</v>
      </c>
      <c r="M267" s="3">
        <f t="shared" si="31"/>
        <v>1.1899999575689435</v>
      </c>
    </row>
    <row r="268" spans="1:13" x14ac:dyDescent="0.25">
      <c r="A268" t="s">
        <v>200</v>
      </c>
      <c r="B268">
        <v>7</v>
      </c>
      <c r="C268" t="s">
        <v>57</v>
      </c>
      <c r="D268" t="s">
        <v>253</v>
      </c>
      <c r="E268" t="s">
        <v>254</v>
      </c>
      <c r="F268" s="1">
        <v>1.7361111111111111E-5</v>
      </c>
      <c r="G268" t="s">
        <v>16</v>
      </c>
      <c r="H268">
        <v>3</v>
      </c>
      <c r="I268">
        <v>101</v>
      </c>
      <c r="J268">
        <v>104</v>
      </c>
      <c r="L268" t="s">
        <v>17</v>
      </c>
      <c r="M268" s="3">
        <f t="shared" si="31"/>
        <v>1.4940002700313926</v>
      </c>
    </row>
    <row r="269" spans="1:13" x14ac:dyDescent="0.25">
      <c r="A269" t="s">
        <v>200</v>
      </c>
      <c r="B269">
        <v>8</v>
      </c>
      <c r="C269" t="s">
        <v>57</v>
      </c>
      <c r="D269" t="s">
        <v>255</v>
      </c>
      <c r="E269" t="s">
        <v>256</v>
      </c>
      <c r="F269" s="1">
        <v>1.8518518518518518E-5</v>
      </c>
      <c r="G269" t="s">
        <v>16</v>
      </c>
      <c r="H269">
        <v>3</v>
      </c>
      <c r="I269">
        <v>101</v>
      </c>
      <c r="J269">
        <v>104</v>
      </c>
      <c r="L269" t="s">
        <v>17</v>
      </c>
      <c r="M269" s="3">
        <f t="shared" si="31"/>
        <v>1.5980004100129008</v>
      </c>
    </row>
    <row r="270" spans="1:13" x14ac:dyDescent="0.25">
      <c r="A270" t="s">
        <v>200</v>
      </c>
      <c r="B270">
        <v>9</v>
      </c>
      <c r="C270" t="s">
        <v>57</v>
      </c>
      <c r="D270" t="s">
        <v>257</v>
      </c>
      <c r="E270" t="s">
        <v>258</v>
      </c>
      <c r="F270" s="1">
        <v>1.5046296296296297E-5</v>
      </c>
      <c r="G270" t="s">
        <v>16</v>
      </c>
      <c r="H270">
        <v>3</v>
      </c>
      <c r="I270">
        <v>101</v>
      </c>
      <c r="J270">
        <v>104</v>
      </c>
      <c r="L270" t="s">
        <v>17</v>
      </c>
      <c r="M270" s="3">
        <f t="shared" si="31"/>
        <v>1.2819999363273382</v>
      </c>
    </row>
    <row r="271" spans="1:13" x14ac:dyDescent="0.25">
      <c r="A271" t="s">
        <v>200</v>
      </c>
      <c r="B271">
        <v>10</v>
      </c>
      <c r="C271" t="s">
        <v>57</v>
      </c>
      <c r="D271" t="s">
        <v>259</v>
      </c>
      <c r="E271" t="s">
        <v>260</v>
      </c>
      <c r="F271" s="1">
        <v>2.6620370370370369E-5</v>
      </c>
      <c r="G271" t="s">
        <v>16</v>
      </c>
      <c r="H271">
        <v>3</v>
      </c>
      <c r="I271">
        <v>101</v>
      </c>
      <c r="J271">
        <v>104</v>
      </c>
      <c r="L271" t="s">
        <v>17</v>
      </c>
      <c r="M271" s="3">
        <f t="shared" si="31"/>
        <v>2.0270000444725156</v>
      </c>
    </row>
    <row r="272" spans="1:13" x14ac:dyDescent="0.25">
      <c r="A272" t="s">
        <v>261</v>
      </c>
      <c r="B272">
        <v>1</v>
      </c>
      <c r="C272" t="s">
        <v>13</v>
      </c>
      <c r="D272" t="s">
        <v>262</v>
      </c>
      <c r="E272" t="s">
        <v>263</v>
      </c>
      <c r="F272" s="1">
        <v>2.6620370370370369E-5</v>
      </c>
      <c r="G272" t="s">
        <v>16</v>
      </c>
      <c r="H272">
        <v>3</v>
      </c>
      <c r="I272">
        <v>91</v>
      </c>
      <c r="J272">
        <v>94</v>
      </c>
      <c r="L272" t="s">
        <v>17</v>
      </c>
      <c r="M272" s="3">
        <f t="shared" si="31"/>
        <v>2.0309994695708156</v>
      </c>
    </row>
    <row r="273" spans="1:13" x14ac:dyDescent="0.25">
      <c r="A273" t="s">
        <v>261</v>
      </c>
      <c r="B273">
        <v>2</v>
      </c>
      <c r="C273" t="s">
        <v>13</v>
      </c>
      <c r="D273" t="s">
        <v>264</v>
      </c>
      <c r="E273" t="s">
        <v>265</v>
      </c>
      <c r="F273" s="1">
        <v>1.9675925925925925E-5</v>
      </c>
      <c r="G273" t="s">
        <v>16</v>
      </c>
      <c r="H273">
        <v>3</v>
      </c>
      <c r="I273">
        <v>91</v>
      </c>
      <c r="J273">
        <v>94</v>
      </c>
      <c r="L273" t="s">
        <v>17</v>
      </c>
      <c r="M273" s="3">
        <f t="shared" si="31"/>
        <v>1.7380004050210118</v>
      </c>
    </row>
    <row r="274" spans="1:13" x14ac:dyDescent="0.25">
      <c r="A274" t="s">
        <v>261</v>
      </c>
      <c r="B274">
        <v>3</v>
      </c>
      <c r="C274" t="s">
        <v>13</v>
      </c>
      <c r="D274" t="s">
        <v>266</v>
      </c>
      <c r="E274" t="s">
        <v>267</v>
      </c>
      <c r="F274" s="1">
        <v>1.9675925925925925E-5</v>
      </c>
      <c r="G274" t="s">
        <v>16</v>
      </c>
      <c r="H274">
        <v>3</v>
      </c>
      <c r="I274">
        <v>91</v>
      </c>
      <c r="J274">
        <v>94</v>
      </c>
      <c r="L274" t="s">
        <v>17</v>
      </c>
      <c r="M274" s="3">
        <f t="shared" si="31"/>
        <v>1.7330001806840301</v>
      </c>
    </row>
    <row r="275" spans="1:13" x14ac:dyDescent="0.25">
      <c r="A275" t="s">
        <v>261</v>
      </c>
      <c r="B275">
        <v>4</v>
      </c>
      <c r="C275" t="s">
        <v>13</v>
      </c>
      <c r="D275" t="s">
        <v>268</v>
      </c>
      <c r="E275" t="s">
        <v>269</v>
      </c>
      <c r="F275" s="1">
        <v>3.2407407407407408E-5</v>
      </c>
      <c r="G275" t="s">
        <v>16</v>
      </c>
      <c r="H275">
        <v>3</v>
      </c>
      <c r="I275">
        <v>91</v>
      </c>
      <c r="J275">
        <v>94</v>
      </c>
      <c r="L275" t="s">
        <v>17</v>
      </c>
      <c r="M275" s="3">
        <f t="shared" si="31"/>
        <v>2.0829995395615697</v>
      </c>
    </row>
    <row r="276" spans="1:13" x14ac:dyDescent="0.25">
      <c r="A276" t="s">
        <v>261</v>
      </c>
      <c r="B276">
        <v>5</v>
      </c>
      <c r="C276" t="s">
        <v>13</v>
      </c>
      <c r="D276" t="s">
        <v>270</v>
      </c>
      <c r="E276" t="s">
        <v>271</v>
      </c>
      <c r="F276" s="1">
        <v>1.9675925925925925E-5</v>
      </c>
      <c r="G276" t="s">
        <v>16</v>
      </c>
      <c r="H276">
        <v>3</v>
      </c>
      <c r="I276">
        <v>91</v>
      </c>
      <c r="J276">
        <v>94</v>
      </c>
      <c r="L276" t="s">
        <v>17</v>
      </c>
      <c r="M276" s="3">
        <f t="shared" si="31"/>
        <v>1.7320000100880861</v>
      </c>
    </row>
    <row r="277" spans="1:13" x14ac:dyDescent="0.25">
      <c r="A277" t="s">
        <v>261</v>
      </c>
      <c r="B277">
        <v>6</v>
      </c>
      <c r="C277" t="s">
        <v>13</v>
      </c>
      <c r="D277" t="s">
        <v>272</v>
      </c>
      <c r="E277" t="s">
        <v>273</v>
      </c>
      <c r="F277" s="1">
        <v>2.0833333333333333E-5</v>
      </c>
      <c r="G277" t="s">
        <v>16</v>
      </c>
      <c r="H277">
        <v>3</v>
      </c>
      <c r="I277">
        <v>91</v>
      </c>
      <c r="J277">
        <v>94</v>
      </c>
      <c r="L277" t="s">
        <v>17</v>
      </c>
      <c r="M277" s="3">
        <f t="shared" si="31"/>
        <v>1.7679998651146889</v>
      </c>
    </row>
    <row r="278" spans="1:13" x14ac:dyDescent="0.25">
      <c r="A278" t="s">
        <v>261</v>
      </c>
      <c r="B278">
        <v>7</v>
      </c>
      <c r="C278" t="s">
        <v>13</v>
      </c>
      <c r="D278" t="s">
        <v>274</v>
      </c>
      <c r="E278" t="s">
        <v>275</v>
      </c>
      <c r="F278" s="1">
        <v>2.199074074074074E-5</v>
      </c>
      <c r="G278" t="s">
        <v>16</v>
      </c>
      <c r="H278">
        <v>3</v>
      </c>
      <c r="I278">
        <v>91</v>
      </c>
      <c r="J278">
        <v>94</v>
      </c>
      <c r="L278" t="s">
        <v>17</v>
      </c>
      <c r="M278" s="3">
        <f t="shared" si="31"/>
        <v>1.9429995445534587</v>
      </c>
    </row>
    <row r="279" spans="1:13" x14ac:dyDescent="0.25">
      <c r="A279" t="s">
        <v>261</v>
      </c>
      <c r="B279">
        <v>8</v>
      </c>
      <c r="C279" t="s">
        <v>13</v>
      </c>
      <c r="D279" t="s">
        <v>276</v>
      </c>
      <c r="E279" t="s">
        <v>277</v>
      </c>
      <c r="F279" s="1">
        <v>3.1250000000000001E-5</v>
      </c>
      <c r="G279" t="s">
        <v>16</v>
      </c>
      <c r="H279">
        <v>3</v>
      </c>
      <c r="I279">
        <v>91</v>
      </c>
      <c r="J279">
        <v>94</v>
      </c>
      <c r="L279" t="s">
        <v>17</v>
      </c>
      <c r="M279" s="3">
        <f t="shared" si="31"/>
        <v>2.6840002276003361</v>
      </c>
    </row>
    <row r="280" spans="1:13" x14ac:dyDescent="0.25">
      <c r="A280" t="s">
        <v>261</v>
      </c>
      <c r="B280">
        <v>9</v>
      </c>
      <c r="C280" t="s">
        <v>13</v>
      </c>
      <c r="D280" t="s">
        <v>278</v>
      </c>
      <c r="E280" t="s">
        <v>279</v>
      </c>
      <c r="F280" s="1">
        <v>2.0833333333333333E-5</v>
      </c>
      <c r="G280" t="s">
        <v>16</v>
      </c>
      <c r="H280">
        <v>3</v>
      </c>
      <c r="I280">
        <v>91</v>
      </c>
      <c r="J280">
        <v>94</v>
      </c>
      <c r="L280" t="s">
        <v>17</v>
      </c>
      <c r="M280" s="3">
        <f t="shared" si="31"/>
        <v>1.8419999163597822</v>
      </c>
    </row>
    <row r="281" spans="1:13" x14ac:dyDescent="0.25">
      <c r="A281" t="s">
        <v>261</v>
      </c>
      <c r="B281">
        <v>10</v>
      </c>
      <c r="C281" t="s">
        <v>13</v>
      </c>
      <c r="D281" t="s">
        <v>280</v>
      </c>
      <c r="E281" t="s">
        <v>281</v>
      </c>
      <c r="F281" s="1">
        <v>2.3148148148148147E-5</v>
      </c>
      <c r="G281" t="s">
        <v>16</v>
      </c>
      <c r="H281">
        <v>3</v>
      </c>
      <c r="I281">
        <v>91</v>
      </c>
      <c r="J281">
        <v>94</v>
      </c>
      <c r="L281" t="s">
        <v>17</v>
      </c>
      <c r="M281" s="3">
        <f t="shared" si="31"/>
        <v>1.959999930113554</v>
      </c>
    </row>
    <row r="282" spans="1:13" x14ac:dyDescent="0.25">
      <c r="A282" t="s">
        <v>261</v>
      </c>
      <c r="B282">
        <v>1</v>
      </c>
      <c r="C282" t="s">
        <v>36</v>
      </c>
      <c r="D282" t="s">
        <v>282</v>
      </c>
      <c r="E282" t="s">
        <v>283</v>
      </c>
      <c r="F282" s="1">
        <v>2.0833333333333333E-5</v>
      </c>
      <c r="G282" t="s">
        <v>16</v>
      </c>
      <c r="H282">
        <v>3</v>
      </c>
      <c r="I282">
        <v>164</v>
      </c>
      <c r="J282">
        <v>167</v>
      </c>
      <c r="L282" t="s">
        <v>17</v>
      </c>
      <c r="M282" s="3">
        <f t="shared" si="31"/>
        <v>1.8390000332146883</v>
      </c>
    </row>
    <row r="283" spans="1:13" x14ac:dyDescent="0.25">
      <c r="A283" t="s">
        <v>261</v>
      </c>
      <c r="B283">
        <v>2</v>
      </c>
      <c r="C283" t="s">
        <v>36</v>
      </c>
      <c r="D283" t="s">
        <v>284</v>
      </c>
      <c r="E283" t="s">
        <v>285</v>
      </c>
      <c r="F283" s="1">
        <v>1.8518518518518518E-5</v>
      </c>
      <c r="G283" t="s">
        <v>16</v>
      </c>
      <c r="H283">
        <v>3</v>
      </c>
      <c r="I283">
        <v>164</v>
      </c>
      <c r="J283">
        <v>167</v>
      </c>
      <c r="L283" t="s">
        <v>17</v>
      </c>
      <c r="M283" s="3">
        <f t="shared" si="31"/>
        <v>1.6370001481845975</v>
      </c>
    </row>
    <row r="284" spans="1:13" x14ac:dyDescent="0.25">
      <c r="A284" t="s">
        <v>261</v>
      </c>
      <c r="B284">
        <v>3</v>
      </c>
      <c r="C284" t="s">
        <v>36</v>
      </c>
      <c r="D284" t="s">
        <v>286</v>
      </c>
      <c r="E284" t="s">
        <v>287</v>
      </c>
      <c r="F284" s="1">
        <v>1.9675925925925925E-5</v>
      </c>
      <c r="G284" t="s">
        <v>16</v>
      </c>
      <c r="H284">
        <v>3</v>
      </c>
      <c r="I284">
        <v>164</v>
      </c>
      <c r="J284">
        <v>167</v>
      </c>
      <c r="L284" t="s">
        <v>17</v>
      </c>
      <c r="M284" s="3">
        <f t="shared" si="31"/>
        <v>1.7040002625435591</v>
      </c>
    </row>
    <row r="285" spans="1:13" x14ac:dyDescent="0.25">
      <c r="A285" t="s">
        <v>261</v>
      </c>
      <c r="B285">
        <v>4</v>
      </c>
      <c r="C285" t="s">
        <v>36</v>
      </c>
      <c r="D285" t="s">
        <v>288</v>
      </c>
      <c r="E285" t="s">
        <v>289</v>
      </c>
      <c r="F285" s="1">
        <v>1.5046296296296297E-5</v>
      </c>
      <c r="G285" t="s">
        <v>16</v>
      </c>
      <c r="H285">
        <v>3</v>
      </c>
      <c r="I285">
        <v>164</v>
      </c>
      <c r="J285">
        <v>167</v>
      </c>
      <c r="L285" t="s">
        <v>17</v>
      </c>
      <c r="M285" s="3">
        <f t="shared" si="31"/>
        <v>1.2539995601400733</v>
      </c>
    </row>
    <row r="286" spans="1:13" x14ac:dyDescent="0.25">
      <c r="A286" t="s">
        <v>261</v>
      </c>
      <c r="B286">
        <v>5</v>
      </c>
      <c r="C286" t="s">
        <v>36</v>
      </c>
      <c r="D286" t="s">
        <v>290</v>
      </c>
      <c r="E286" t="s">
        <v>291</v>
      </c>
      <c r="F286" s="1">
        <v>1.3888888888888888E-5</v>
      </c>
      <c r="G286" t="s">
        <v>16</v>
      </c>
      <c r="H286">
        <v>3</v>
      </c>
      <c r="I286">
        <v>164</v>
      </c>
      <c r="J286">
        <v>167</v>
      </c>
      <c r="L286" t="s">
        <v>17</v>
      </c>
      <c r="M286" s="3">
        <f t="shared" si="31"/>
        <v>1.2189998757094145</v>
      </c>
    </row>
    <row r="287" spans="1:13" x14ac:dyDescent="0.25">
      <c r="A287" t="s">
        <v>261</v>
      </c>
      <c r="B287">
        <v>6</v>
      </c>
      <c r="C287" t="s">
        <v>36</v>
      </c>
      <c r="D287" t="s">
        <v>292</v>
      </c>
      <c r="E287" t="s">
        <v>293</v>
      </c>
      <c r="F287" s="1">
        <v>1.6203703703703704E-5</v>
      </c>
      <c r="G287" t="s">
        <v>16</v>
      </c>
      <c r="H287">
        <v>3</v>
      </c>
      <c r="I287">
        <v>164</v>
      </c>
      <c r="J287">
        <v>167</v>
      </c>
      <c r="L287" t="s">
        <v>17</v>
      </c>
      <c r="M287" s="3">
        <f t="shared" si="31"/>
        <v>1.4340000925585628</v>
      </c>
    </row>
    <row r="288" spans="1:13" x14ac:dyDescent="0.25">
      <c r="A288" t="s">
        <v>261</v>
      </c>
      <c r="B288">
        <v>7</v>
      </c>
      <c r="C288" t="s">
        <v>36</v>
      </c>
      <c r="D288" t="s">
        <v>294</v>
      </c>
      <c r="E288" t="s">
        <v>295</v>
      </c>
      <c r="F288" s="1">
        <v>2.0833333333333333E-5</v>
      </c>
      <c r="G288" t="s">
        <v>16</v>
      </c>
      <c r="H288">
        <v>3</v>
      </c>
      <c r="I288">
        <v>164</v>
      </c>
      <c r="J288">
        <v>167</v>
      </c>
      <c r="L288" t="s">
        <v>17</v>
      </c>
      <c r="M288" s="3">
        <f t="shared" si="31"/>
        <v>1.7800000263378024</v>
      </c>
    </row>
    <row r="289" spans="1:13" x14ac:dyDescent="0.25">
      <c r="A289" t="s">
        <v>261</v>
      </c>
      <c r="B289">
        <v>8</v>
      </c>
      <c r="C289" t="s">
        <v>36</v>
      </c>
      <c r="D289" t="s">
        <v>296</v>
      </c>
      <c r="E289" t="s">
        <v>297</v>
      </c>
      <c r="F289" s="1">
        <v>1.8518518518518518E-5</v>
      </c>
      <c r="G289" t="s">
        <v>16</v>
      </c>
      <c r="H289">
        <v>3</v>
      </c>
      <c r="I289">
        <v>164</v>
      </c>
      <c r="J289">
        <v>167</v>
      </c>
      <c r="L289" t="s">
        <v>17</v>
      </c>
      <c r="M289" s="3">
        <f t="shared" si="31"/>
        <v>1.5860002487897873</v>
      </c>
    </row>
    <row r="290" spans="1:13" x14ac:dyDescent="0.25">
      <c r="A290" t="s">
        <v>261</v>
      </c>
      <c r="B290">
        <v>9</v>
      </c>
      <c r="C290" t="s">
        <v>36</v>
      </c>
      <c r="D290" t="s">
        <v>298</v>
      </c>
      <c r="E290" t="s">
        <v>299</v>
      </c>
      <c r="F290" s="1">
        <v>1.3888888888888888E-5</v>
      </c>
      <c r="G290" t="s">
        <v>16</v>
      </c>
      <c r="H290">
        <v>3</v>
      </c>
      <c r="I290">
        <v>164</v>
      </c>
      <c r="J290">
        <v>167</v>
      </c>
      <c r="L290" t="s">
        <v>17</v>
      </c>
      <c r="M290" s="3">
        <f t="shared" si="31"/>
        <v>1.1999997776001692</v>
      </c>
    </row>
    <row r="291" spans="1:13" x14ac:dyDescent="0.25">
      <c r="A291" t="s">
        <v>261</v>
      </c>
      <c r="B291">
        <v>10</v>
      </c>
      <c r="C291" t="s">
        <v>36</v>
      </c>
      <c r="D291" t="s">
        <v>300</v>
      </c>
      <c r="E291" t="s">
        <v>301</v>
      </c>
      <c r="F291" s="1">
        <v>1.8518518518518518E-5</v>
      </c>
      <c r="G291" t="s">
        <v>16</v>
      </c>
      <c r="H291">
        <v>3</v>
      </c>
      <c r="I291">
        <v>164</v>
      </c>
      <c r="J291">
        <v>167</v>
      </c>
      <c r="L291" t="s">
        <v>17</v>
      </c>
      <c r="M291" s="3">
        <f t="shared" si="31"/>
        <v>1.5839999075978994</v>
      </c>
    </row>
    <row r="292" spans="1:13" x14ac:dyDescent="0.25">
      <c r="A292" t="s">
        <v>261</v>
      </c>
      <c r="B292">
        <v>1</v>
      </c>
      <c r="C292" t="s">
        <v>57</v>
      </c>
      <c r="D292" t="s">
        <v>302</v>
      </c>
      <c r="E292" t="s">
        <v>303</v>
      </c>
      <c r="F292" s="1">
        <v>1.7361111111111111E-5</v>
      </c>
      <c r="G292" t="s">
        <v>16</v>
      </c>
      <c r="H292">
        <v>3</v>
      </c>
      <c r="I292">
        <v>125</v>
      </c>
      <c r="J292">
        <v>128</v>
      </c>
      <c r="L292" t="s">
        <v>17</v>
      </c>
      <c r="M292" s="3">
        <f t="shared" si="31"/>
        <v>1.5189995057880878</v>
      </c>
    </row>
    <row r="293" spans="1:13" x14ac:dyDescent="0.25">
      <c r="A293" t="s">
        <v>261</v>
      </c>
      <c r="B293">
        <v>2</v>
      </c>
      <c r="C293" t="s">
        <v>57</v>
      </c>
      <c r="D293" t="s">
        <v>304</v>
      </c>
      <c r="E293" t="s">
        <v>305</v>
      </c>
      <c r="F293" s="1">
        <v>1.7361111111111111E-5</v>
      </c>
      <c r="G293" t="s">
        <v>16</v>
      </c>
      <c r="H293">
        <v>3</v>
      </c>
      <c r="I293">
        <v>125</v>
      </c>
      <c r="J293">
        <v>128</v>
      </c>
      <c r="L293" t="s">
        <v>17</v>
      </c>
      <c r="M293" s="3">
        <f t="shared" si="31"/>
        <v>1.4970001531764865</v>
      </c>
    </row>
    <row r="294" spans="1:13" x14ac:dyDescent="0.25">
      <c r="A294" t="s">
        <v>261</v>
      </c>
      <c r="B294">
        <v>3</v>
      </c>
      <c r="C294" t="s">
        <v>57</v>
      </c>
      <c r="D294" t="s">
        <v>306</v>
      </c>
      <c r="E294" t="s">
        <v>307</v>
      </c>
      <c r="F294" s="1">
        <v>1.7361111111111111E-5</v>
      </c>
      <c r="G294" t="s">
        <v>16</v>
      </c>
      <c r="H294">
        <v>3</v>
      </c>
      <c r="I294">
        <v>125</v>
      </c>
      <c r="J294">
        <v>128</v>
      </c>
      <c r="L294" t="s">
        <v>17</v>
      </c>
      <c r="M294" s="3">
        <f t="shared" si="31"/>
        <v>1.4980003237724304</v>
      </c>
    </row>
    <row r="295" spans="1:13" x14ac:dyDescent="0.25">
      <c r="A295" t="s">
        <v>261</v>
      </c>
      <c r="B295">
        <v>4</v>
      </c>
      <c r="C295" t="s">
        <v>57</v>
      </c>
      <c r="D295" t="s">
        <v>308</v>
      </c>
      <c r="E295" t="s">
        <v>309</v>
      </c>
      <c r="F295" s="1">
        <v>2.0833333333333333E-5</v>
      </c>
      <c r="G295" t="s">
        <v>16</v>
      </c>
      <c r="H295">
        <v>3</v>
      </c>
      <c r="I295">
        <v>125</v>
      </c>
      <c r="J295">
        <v>128</v>
      </c>
      <c r="L295" t="s">
        <v>17</v>
      </c>
      <c r="M295" s="3">
        <f t="shared" si="31"/>
        <v>1.792999729514122</v>
      </c>
    </row>
    <row r="296" spans="1:13" x14ac:dyDescent="0.25">
      <c r="A296" t="s">
        <v>261</v>
      </c>
      <c r="B296">
        <v>5</v>
      </c>
      <c r="C296" t="s">
        <v>57</v>
      </c>
      <c r="D296" t="s">
        <v>310</v>
      </c>
      <c r="E296" t="s">
        <v>311</v>
      </c>
      <c r="F296" s="1">
        <v>1.6203703703703704E-5</v>
      </c>
      <c r="G296" t="s">
        <v>16</v>
      </c>
      <c r="H296">
        <v>3</v>
      </c>
      <c r="I296">
        <v>125</v>
      </c>
      <c r="J296">
        <v>128</v>
      </c>
      <c r="L296" t="s">
        <v>17</v>
      </c>
      <c r="M296" s="3">
        <f t="shared" si="31"/>
        <v>1.3629999244585633</v>
      </c>
    </row>
    <row r="297" spans="1:13" x14ac:dyDescent="0.25">
      <c r="A297" t="s">
        <v>261</v>
      </c>
      <c r="B297">
        <v>6</v>
      </c>
      <c r="C297" t="s">
        <v>57</v>
      </c>
      <c r="D297" t="s">
        <v>312</v>
      </c>
      <c r="E297" t="s">
        <v>313</v>
      </c>
      <c r="F297" s="1">
        <v>1.3888888888888888E-5</v>
      </c>
      <c r="G297" t="s">
        <v>16</v>
      </c>
      <c r="H297">
        <v>3</v>
      </c>
      <c r="I297">
        <v>125</v>
      </c>
      <c r="J297">
        <v>128</v>
      </c>
      <c r="L297" t="s">
        <v>17</v>
      </c>
      <c r="M297" s="3">
        <f t="shared" si="31"/>
        <v>1.2379999738186598</v>
      </c>
    </row>
    <row r="298" spans="1:13" x14ac:dyDescent="0.25">
      <c r="A298" t="s">
        <v>261</v>
      </c>
      <c r="B298">
        <v>7</v>
      </c>
      <c r="C298" t="s">
        <v>57</v>
      </c>
      <c r="D298" t="s">
        <v>314</v>
      </c>
      <c r="E298" t="s">
        <v>315</v>
      </c>
      <c r="F298" s="1">
        <v>1.8518518518518518E-5</v>
      </c>
      <c r="G298" t="s">
        <v>16</v>
      </c>
      <c r="H298">
        <v>3</v>
      </c>
      <c r="I298">
        <v>125</v>
      </c>
      <c r="J298">
        <v>128</v>
      </c>
      <c r="L298" t="s">
        <v>17</v>
      </c>
      <c r="M298" s="3">
        <f t="shared" si="31"/>
        <v>1.5710002044215798</v>
      </c>
    </row>
    <row r="299" spans="1:13" x14ac:dyDescent="0.25">
      <c r="A299" t="s">
        <v>261</v>
      </c>
      <c r="B299">
        <v>8</v>
      </c>
      <c r="C299" t="s">
        <v>57</v>
      </c>
      <c r="D299" t="s">
        <v>316</v>
      </c>
      <c r="E299" t="s">
        <v>317</v>
      </c>
      <c r="F299" s="1">
        <v>1.5046296296296297E-5</v>
      </c>
      <c r="G299" t="s">
        <v>16</v>
      </c>
      <c r="H299">
        <v>3</v>
      </c>
      <c r="I299">
        <v>125</v>
      </c>
      <c r="J299">
        <v>128</v>
      </c>
      <c r="L299" t="s">
        <v>17</v>
      </c>
      <c r="M299" s="3">
        <f t="shared" si="31"/>
        <v>1.316000078804791</v>
      </c>
    </row>
    <row r="300" spans="1:13" x14ac:dyDescent="0.25">
      <c r="A300" t="s">
        <v>261</v>
      </c>
      <c r="B300">
        <v>9</v>
      </c>
      <c r="C300" t="s">
        <v>57</v>
      </c>
      <c r="D300" t="s">
        <v>318</v>
      </c>
      <c r="E300" t="s">
        <v>319</v>
      </c>
      <c r="F300" s="1">
        <v>1.8518518518518518E-5</v>
      </c>
      <c r="G300" t="s">
        <v>16</v>
      </c>
      <c r="H300">
        <v>3</v>
      </c>
      <c r="I300">
        <v>125</v>
      </c>
      <c r="J300">
        <v>128</v>
      </c>
      <c r="L300" t="s">
        <v>17</v>
      </c>
      <c r="M300" s="3">
        <f t="shared" si="31"/>
        <v>1.568999863229692</v>
      </c>
    </row>
    <row r="301" spans="1:13" x14ac:dyDescent="0.25">
      <c r="A301" t="s">
        <v>261</v>
      </c>
      <c r="B301">
        <v>10</v>
      </c>
      <c r="C301" t="s">
        <v>57</v>
      </c>
      <c r="D301" t="s">
        <v>320</v>
      </c>
      <c r="E301" t="s">
        <v>321</v>
      </c>
      <c r="F301" s="1">
        <v>1.5046296296296297E-5</v>
      </c>
      <c r="G301" t="s">
        <v>16</v>
      </c>
      <c r="H301">
        <v>3</v>
      </c>
      <c r="I301">
        <v>125</v>
      </c>
      <c r="J301">
        <v>128</v>
      </c>
      <c r="L301" t="s">
        <v>17</v>
      </c>
      <c r="M301" s="3">
        <f t="shared" si="31"/>
        <v>1.2709999457001686</v>
      </c>
    </row>
  </sheetData>
  <mergeCells count="45">
    <mergeCell ref="P5:R5"/>
    <mergeCell ref="U5:W5"/>
    <mergeCell ref="Z5:AB5"/>
    <mergeCell ref="AE5:AG5"/>
    <mergeCell ref="AJ5:AL5"/>
    <mergeCell ref="O3:R4"/>
    <mergeCell ref="T3:W4"/>
    <mergeCell ref="Y3:AB4"/>
    <mergeCell ref="AD3:AG4"/>
    <mergeCell ref="AI3:AL4"/>
    <mergeCell ref="P6:R6"/>
    <mergeCell ref="U6:W6"/>
    <mergeCell ref="Z6:AB6"/>
    <mergeCell ref="AE6:AG6"/>
    <mergeCell ref="AJ6:AL6"/>
    <mergeCell ref="O25:R25"/>
    <mergeCell ref="T25:W25"/>
    <mergeCell ref="Y25:AB25"/>
    <mergeCell ref="AD25:AG25"/>
    <mergeCell ref="AI25:AL25"/>
    <mergeCell ref="O26:Q26"/>
    <mergeCell ref="T26:V26"/>
    <mergeCell ref="Y26:AA26"/>
    <mergeCell ref="AD26:AF26"/>
    <mergeCell ref="AI26:AK26"/>
    <mergeCell ref="O27:Q27"/>
    <mergeCell ref="T27:V27"/>
    <mergeCell ref="Y27:AA27"/>
    <mergeCell ref="AD27:AF27"/>
    <mergeCell ref="AI27:AK27"/>
    <mergeCell ref="O30:R30"/>
    <mergeCell ref="T30:V30"/>
    <mergeCell ref="Y30:AA30"/>
    <mergeCell ref="O28:Q28"/>
    <mergeCell ref="T28:V28"/>
    <mergeCell ref="Y28:AA28"/>
    <mergeCell ref="AN9:AO9"/>
    <mergeCell ref="AD30:AH30"/>
    <mergeCell ref="Y42:AA42"/>
    <mergeCell ref="AI35:AJ35"/>
    <mergeCell ref="AC42:AE42"/>
    <mergeCell ref="Y34:AA34"/>
    <mergeCell ref="Y38:AA38"/>
    <mergeCell ref="AD28:AF28"/>
    <mergeCell ref="AI28:AK28"/>
  </mergeCells>
  <hyperlinks>
    <hyperlink ref="P6" r:id="rId1" display="claude-3-haiku@20240307" xr:uid="{591E9396-9AF9-4C67-ABB8-709436C4316D}"/>
    <hyperlink ref="O3" r:id="rId2" xr:uid="{2A9D6F26-0A89-4C14-9D32-F6E871305F72}"/>
  </hyperlinks>
  <pageMargins left="0.7" right="0.7" top="0.75" bottom="0.75" header="0.3" footer="0.3"/>
  <pageSetup orientation="portrait" horizontalDpi="0" verticalDpi="0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42A1E-D3E3-4B0F-A1B1-D53F93CD787C}">
  <dimension ref="A1:AO301"/>
  <sheetViews>
    <sheetView topLeftCell="G3" zoomScale="80" zoomScaleNormal="80" workbookViewId="0">
      <selection activeCell="AN31" sqref="AN31"/>
    </sheetView>
  </sheetViews>
  <sheetFormatPr defaultRowHeight="15" x14ac:dyDescent="0.25"/>
  <cols>
    <col min="1" max="1" width="24.5703125" bestFit="1" customWidth="1"/>
    <col min="2" max="2" width="8" bestFit="1" customWidth="1"/>
    <col min="3" max="3" width="14.28515625" bestFit="1" customWidth="1"/>
    <col min="4" max="5" width="28" bestFit="1" customWidth="1"/>
    <col min="6" max="6" width="11.140625" bestFit="1" customWidth="1"/>
    <col min="7" max="7" width="8.140625" bestFit="1" customWidth="1"/>
    <col min="8" max="8" width="18" bestFit="1" customWidth="1"/>
    <col min="9" max="9" width="14.28515625" bestFit="1" customWidth="1"/>
    <col min="10" max="10" width="11.7109375" bestFit="1" customWidth="1"/>
    <col min="11" max="11" width="5.85546875" bestFit="1" customWidth="1"/>
    <col min="12" max="12" width="6.7109375" bestFit="1" customWidth="1"/>
    <col min="13" max="13" width="17.28515625" bestFit="1" customWidth="1"/>
    <col min="15" max="15" width="25" bestFit="1" customWidth="1"/>
    <col min="16" max="16" width="15.5703125" bestFit="1" customWidth="1"/>
    <col min="17" max="18" width="9" bestFit="1" customWidth="1"/>
    <col min="20" max="20" width="23.7109375" bestFit="1" customWidth="1"/>
    <col min="21" max="23" width="19.85546875" bestFit="1" customWidth="1"/>
    <col min="25" max="25" width="19.28515625" bestFit="1" customWidth="1"/>
    <col min="26" max="27" width="12" bestFit="1" customWidth="1"/>
    <col min="28" max="28" width="9" bestFit="1" customWidth="1"/>
    <col min="30" max="30" width="19.28515625" bestFit="1" customWidth="1"/>
    <col min="31" max="31" width="9.28515625" bestFit="1" customWidth="1"/>
    <col min="32" max="32" width="10.140625" bestFit="1" customWidth="1"/>
    <col min="33" max="33" width="9" bestFit="1" customWidth="1"/>
    <col min="34" max="34" width="13.7109375" customWidth="1"/>
    <col min="35" max="35" width="19.28515625" bestFit="1" customWidth="1"/>
    <col min="36" max="36" width="9.28515625" bestFit="1" customWidth="1"/>
    <col min="37" max="38" width="9" bestFit="1" customWidth="1"/>
  </cols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390</v>
      </c>
    </row>
    <row r="2" spans="1:41" ht="15.75" thickBot="1" x14ac:dyDescent="0.3">
      <c r="A2" t="s">
        <v>12</v>
      </c>
      <c r="B2">
        <v>1</v>
      </c>
      <c r="C2" t="s">
        <v>13</v>
      </c>
      <c r="D2" t="s">
        <v>322</v>
      </c>
      <c r="E2" t="s">
        <v>323</v>
      </c>
      <c r="F2" s="1">
        <v>1.5046296296296297E-5</v>
      </c>
      <c r="G2" t="s">
        <v>16</v>
      </c>
      <c r="H2">
        <v>5</v>
      </c>
      <c r="I2">
        <v>81</v>
      </c>
      <c r="J2">
        <v>86</v>
      </c>
      <c r="L2" t="s">
        <v>17</v>
      </c>
      <c r="M2" s="3">
        <f>(SUBSTITUTE(LEFT(E2,23),"T"," ")-SUBSTITUTE(LEFT(D2,23),"T"," "))*86400</f>
        <v>1.0330002056434751</v>
      </c>
    </row>
    <row r="3" spans="1:41" ht="15" customHeight="1" x14ac:dyDescent="0.25">
      <c r="A3" t="s">
        <v>12</v>
      </c>
      <c r="B3">
        <v>2</v>
      </c>
      <c r="C3" t="s">
        <v>13</v>
      </c>
      <c r="D3" t="s">
        <v>324</v>
      </c>
      <c r="E3" t="s">
        <v>325</v>
      </c>
      <c r="F3" s="1">
        <v>1.1574074074074073E-5</v>
      </c>
      <c r="G3" t="s">
        <v>16</v>
      </c>
      <c r="H3">
        <v>5</v>
      </c>
      <c r="I3">
        <v>81</v>
      </c>
      <c r="J3">
        <v>86</v>
      </c>
      <c r="L3" t="s">
        <v>17</v>
      </c>
      <c r="M3" s="3">
        <f t="shared" ref="M3:M66" si="0">(SUBSTITUTE(LEFT(E3,23),"T"," ")-SUBSTITUTE(LEFT(D3,23),"T"," "))*86400</f>
        <v>0.98500018939375877</v>
      </c>
      <c r="O3" s="39" t="s">
        <v>261</v>
      </c>
      <c r="P3" s="40"/>
      <c r="Q3" s="40"/>
      <c r="R3" s="41"/>
      <c r="T3" s="26" t="str">
        <f>O3 &amp; "
All Runs Mar 3, 2026 Detailed Analysis"</f>
        <v>llama-3.3-70b-instruct
All Runs Mar 3, 2026 Detailed Analysis</v>
      </c>
      <c r="U3" s="27"/>
      <c r="V3" s="27"/>
      <c r="W3" s="28"/>
      <c r="Y3" s="26" t="str">
        <f>O3 &amp; "
Stable Runs (2-9) Mar 3, 2026 "</f>
        <v xml:space="preserve">llama-3.3-70b-instruct
Stable Runs (2-9) Mar 3, 2026 </v>
      </c>
      <c r="Z3" s="27"/>
      <c r="AA3" s="27"/>
      <c r="AB3" s="28"/>
      <c r="AD3" s="48" t="str">
        <f>O3 &amp; "
All Runs Mar 5, 2026 Detailed Analysis"</f>
        <v>llama-3.3-70b-instruct
All Runs Mar 5, 2026 Detailed Analysis</v>
      </c>
      <c r="AE3" s="49"/>
      <c r="AF3" s="49"/>
      <c r="AG3" s="50"/>
      <c r="AI3" s="26" t="str">
        <f>O3 &amp; "
Stable Runs (2-9) Mar 5, 2026 "</f>
        <v xml:space="preserve">llama-3.3-70b-instruct
Stable Runs (2-9) Mar 5, 2026 </v>
      </c>
      <c r="AJ3" s="27"/>
      <c r="AK3" s="27"/>
      <c r="AL3" s="28"/>
    </row>
    <row r="4" spans="1:41" ht="15.75" thickBot="1" x14ac:dyDescent="0.3">
      <c r="A4" t="s">
        <v>12</v>
      </c>
      <c r="B4">
        <v>3</v>
      </c>
      <c r="C4" t="s">
        <v>13</v>
      </c>
      <c r="D4" t="s">
        <v>326</v>
      </c>
      <c r="E4" t="s">
        <v>327</v>
      </c>
      <c r="F4" s="1">
        <v>2.0833333333333333E-5</v>
      </c>
      <c r="G4" t="s">
        <v>16</v>
      </c>
      <c r="H4">
        <v>5</v>
      </c>
      <c r="I4">
        <v>81</v>
      </c>
      <c r="J4">
        <v>86</v>
      </c>
      <c r="L4" t="s">
        <v>17</v>
      </c>
      <c r="M4" s="3">
        <f t="shared" si="0"/>
        <v>1.0829999344423413</v>
      </c>
      <c r="O4" s="42"/>
      <c r="P4" s="43"/>
      <c r="Q4" s="43"/>
      <c r="R4" s="44"/>
      <c r="T4" s="29"/>
      <c r="U4" s="30"/>
      <c r="V4" s="30"/>
      <c r="W4" s="31"/>
      <c r="Y4" s="29"/>
      <c r="Z4" s="30"/>
      <c r="AA4" s="30"/>
      <c r="AB4" s="31"/>
      <c r="AD4" s="51"/>
      <c r="AE4" s="52"/>
      <c r="AF4" s="52"/>
      <c r="AG4" s="53"/>
      <c r="AI4" s="29"/>
      <c r="AJ4" s="30"/>
      <c r="AK4" s="30"/>
      <c r="AL4" s="31"/>
    </row>
    <row r="5" spans="1:41" x14ac:dyDescent="0.25">
      <c r="A5" t="s">
        <v>12</v>
      </c>
      <c r="B5">
        <v>4</v>
      </c>
      <c r="C5" t="s">
        <v>13</v>
      </c>
      <c r="D5" t="s">
        <v>328</v>
      </c>
      <c r="E5" t="s">
        <v>329</v>
      </c>
      <c r="F5" s="1">
        <v>1.1574074074074073E-5</v>
      </c>
      <c r="G5" t="s">
        <v>16</v>
      </c>
      <c r="H5">
        <v>5</v>
      </c>
      <c r="I5">
        <v>81</v>
      </c>
      <c r="J5">
        <v>86</v>
      </c>
      <c r="L5" t="s">
        <v>17</v>
      </c>
      <c r="M5" s="3">
        <f t="shared" si="0"/>
        <v>0.96200003754347563</v>
      </c>
      <c r="O5" s="8"/>
      <c r="P5" s="45" t="s">
        <v>643</v>
      </c>
      <c r="Q5" s="45"/>
      <c r="R5" s="46"/>
      <c r="T5" s="13" t="s">
        <v>637</v>
      </c>
      <c r="U5" s="32" t="s">
        <v>639</v>
      </c>
      <c r="V5" s="32"/>
      <c r="W5" s="33"/>
      <c r="Y5" s="13" t="s">
        <v>637</v>
      </c>
      <c r="Z5" s="32" t="s">
        <v>639</v>
      </c>
      <c r="AA5" s="32"/>
      <c r="AB5" s="33"/>
      <c r="AD5" s="13" t="s">
        <v>637</v>
      </c>
      <c r="AE5" s="32" t="s">
        <v>642</v>
      </c>
      <c r="AF5" s="32"/>
      <c r="AG5" s="33"/>
      <c r="AI5" s="13" t="s">
        <v>637</v>
      </c>
      <c r="AJ5" s="32" t="s">
        <v>642</v>
      </c>
      <c r="AK5" s="32"/>
      <c r="AL5" s="33"/>
    </row>
    <row r="6" spans="1:41" x14ac:dyDescent="0.25">
      <c r="A6" t="s">
        <v>12</v>
      </c>
      <c r="B6">
        <v>5</v>
      </c>
      <c r="C6" t="s">
        <v>13</v>
      </c>
      <c r="D6" t="s">
        <v>330</v>
      </c>
      <c r="E6" t="s">
        <v>331</v>
      </c>
      <c r="F6" s="1">
        <v>1.3888888888888888E-5</v>
      </c>
      <c r="G6" t="s">
        <v>16</v>
      </c>
      <c r="H6">
        <v>5</v>
      </c>
      <c r="I6">
        <v>81</v>
      </c>
      <c r="J6">
        <v>86</v>
      </c>
      <c r="L6" t="s">
        <v>17</v>
      </c>
      <c r="M6" s="3">
        <f t="shared" si="0"/>
        <v>1.0150002781301737</v>
      </c>
      <c r="O6" s="9" t="s">
        <v>0</v>
      </c>
      <c r="P6" s="34" t="str">
        <f>O3</f>
        <v>llama-3.3-70b-instruct</v>
      </c>
      <c r="Q6" s="34"/>
      <c r="R6" s="35"/>
      <c r="T6" s="9" t="s">
        <v>0</v>
      </c>
      <c r="U6" s="34" t="str">
        <f>P6</f>
        <v>llama-3.3-70b-instruct</v>
      </c>
      <c r="V6" s="34"/>
      <c r="W6" s="35"/>
      <c r="Y6" s="9" t="s">
        <v>0</v>
      </c>
      <c r="Z6" s="34" t="str">
        <f>U6</f>
        <v>llama-3.3-70b-instruct</v>
      </c>
      <c r="AA6" s="34"/>
      <c r="AB6" s="35"/>
      <c r="AD6" s="9" t="s">
        <v>0</v>
      </c>
      <c r="AE6" s="34" t="str">
        <f>Z6</f>
        <v>llama-3.3-70b-instruct</v>
      </c>
      <c r="AF6" s="34"/>
      <c r="AG6" s="35"/>
      <c r="AI6" s="9" t="s">
        <v>0</v>
      </c>
      <c r="AJ6" s="34" t="str">
        <f>AE6</f>
        <v>llama-3.3-70b-instruct</v>
      </c>
      <c r="AK6" s="34"/>
      <c r="AL6" s="35"/>
    </row>
    <row r="7" spans="1:41" ht="15.75" thickBot="1" x14ac:dyDescent="0.3">
      <c r="A7" t="s">
        <v>12</v>
      </c>
      <c r="B7">
        <v>6</v>
      </c>
      <c r="C7" t="s">
        <v>13</v>
      </c>
      <c r="D7" t="s">
        <v>332</v>
      </c>
      <c r="E7" t="s">
        <v>333</v>
      </c>
      <c r="F7" s="1">
        <v>1.1574074074074073E-5</v>
      </c>
      <c r="G7" t="s">
        <v>16</v>
      </c>
      <c r="H7">
        <v>5</v>
      </c>
      <c r="I7">
        <v>81</v>
      </c>
      <c r="J7">
        <v>86</v>
      </c>
      <c r="L7" t="s">
        <v>17</v>
      </c>
      <c r="M7" s="3">
        <f t="shared" si="0"/>
        <v>0.99999960511922836</v>
      </c>
      <c r="O7" s="10"/>
      <c r="P7" s="11"/>
      <c r="Q7" s="11"/>
      <c r="R7" s="12"/>
      <c r="T7" s="10"/>
      <c r="U7" s="11"/>
      <c r="V7" s="11"/>
      <c r="W7" s="12"/>
      <c r="Y7" s="14" t="s">
        <v>640</v>
      </c>
      <c r="Z7" s="11">
        <v>2</v>
      </c>
      <c r="AA7" s="15" t="s">
        <v>641</v>
      </c>
      <c r="AB7" s="12">
        <v>9</v>
      </c>
      <c r="AD7" s="10"/>
      <c r="AE7" s="11"/>
      <c r="AF7" s="11"/>
      <c r="AG7" s="12"/>
      <c r="AI7" s="14" t="s">
        <v>640</v>
      </c>
      <c r="AJ7" s="11">
        <v>2</v>
      </c>
      <c r="AK7" s="15" t="s">
        <v>641</v>
      </c>
      <c r="AL7" s="12">
        <v>9</v>
      </c>
    </row>
    <row r="8" spans="1:41" x14ac:dyDescent="0.25">
      <c r="A8" t="s">
        <v>12</v>
      </c>
      <c r="B8">
        <v>7</v>
      </c>
      <c r="C8" t="s">
        <v>13</v>
      </c>
      <c r="D8" t="s">
        <v>334</v>
      </c>
      <c r="E8" t="s">
        <v>335</v>
      </c>
      <c r="F8" s="1">
        <v>1.1574074074074073E-5</v>
      </c>
      <c r="G8" t="s">
        <v>16</v>
      </c>
      <c r="H8">
        <v>5</v>
      </c>
      <c r="I8">
        <v>81</v>
      </c>
      <c r="J8">
        <v>86</v>
      </c>
      <c r="L8" t="s">
        <v>17</v>
      </c>
      <c r="M8" s="3">
        <f t="shared" si="0"/>
        <v>0.97899979446083307</v>
      </c>
      <c r="O8" s="7" t="s">
        <v>638</v>
      </c>
      <c r="P8" s="7" t="s">
        <v>13</v>
      </c>
      <c r="Q8" s="7" t="s">
        <v>36</v>
      </c>
      <c r="R8" s="7" t="s">
        <v>57</v>
      </c>
      <c r="T8" s="7" t="s">
        <v>638</v>
      </c>
      <c r="U8" s="7" t="s">
        <v>13</v>
      </c>
      <c r="V8" s="7" t="s">
        <v>36</v>
      </c>
      <c r="W8" s="7" t="s">
        <v>57</v>
      </c>
      <c r="Y8" s="7" t="s">
        <v>638</v>
      </c>
      <c r="Z8" s="7" t="s">
        <v>13</v>
      </c>
      <c r="AA8" t="s">
        <v>36</v>
      </c>
      <c r="AB8" s="7" t="s">
        <v>57</v>
      </c>
      <c r="AD8" s="7" t="s">
        <v>638</v>
      </c>
      <c r="AE8" s="7" t="s">
        <v>13</v>
      </c>
      <c r="AF8" s="7" t="s">
        <v>36</v>
      </c>
      <c r="AG8" s="7" t="s">
        <v>57</v>
      </c>
      <c r="AI8" s="7" t="s">
        <v>638</v>
      </c>
      <c r="AJ8" s="7" t="s">
        <v>13</v>
      </c>
      <c r="AK8" t="s">
        <v>36</v>
      </c>
      <c r="AL8" s="7" t="s">
        <v>57</v>
      </c>
    </row>
    <row r="9" spans="1:41" x14ac:dyDescent="0.25">
      <c r="A9" t="s">
        <v>12</v>
      </c>
      <c r="B9">
        <v>8</v>
      </c>
      <c r="C9" t="s">
        <v>13</v>
      </c>
      <c r="D9" t="s">
        <v>336</v>
      </c>
      <c r="E9" t="s">
        <v>337</v>
      </c>
      <c r="F9" s="1">
        <v>1.3888888888888888E-5</v>
      </c>
      <c r="G9" t="s">
        <v>16</v>
      </c>
      <c r="H9">
        <v>5</v>
      </c>
      <c r="I9">
        <v>81</v>
      </c>
      <c r="J9">
        <v>86</v>
      </c>
      <c r="L9" t="s">
        <v>17</v>
      </c>
      <c r="M9" s="3">
        <f t="shared" si="0"/>
        <v>1.0160004487261176</v>
      </c>
      <c r="O9" t="s">
        <v>382</v>
      </c>
      <c r="P9" s="4" cm="1">
        <f t="array" ref="P9">ROUND(AVERAGE(_xlfn._xlws.FILTER($M$2:$M$1000, ($A$2:$A$1000=$P6) * ($C$2:$C$1000=P$8))),2)</f>
        <v>1.76</v>
      </c>
      <c r="Q9" s="4" cm="1">
        <f t="array" ref="Q9">ROUND(AVERAGE(_xlfn._xlws.FILTER($M$2:$M$1000, ($A$2:$A$1000=$P6) * ($C$2:$C$1000=Q$8))),2)</f>
        <v>1.53</v>
      </c>
      <c r="R9" s="4" cm="1">
        <f t="array" ref="R9">ROUND(AVERAGE(_xlfn._xlws.FILTER($M$2:$M$1000, ($A$2:$A$1000=$P6) * ($C$2:$C$1000=R$8))),2)</f>
        <v>1.8</v>
      </c>
      <c r="T9" t="s">
        <v>382</v>
      </c>
      <c r="U9" s="4" cm="1">
        <f t="array" ref="U9">ROUND(AVERAGE(_xlfn._xlws.FILTER($M$2:$M$1000, ($A$2:$A$1000=$U6) * ($C$2:$C$1000=U$8) * (LEFT($D$2:$D$1000,10)=$U5))),2)</f>
        <v>1.57</v>
      </c>
      <c r="V9" s="4" cm="1">
        <f t="array" ref="V9">ROUND(AVERAGE(_xlfn._xlws.FILTER($M$2:$M$1000, ($A$2:$A$1000=$U6) * ($C$2:$C$1000=V$8) * (LEFT($D$2:$D$1000,10)=$U5))),2)</f>
        <v>1.53</v>
      </c>
      <c r="W9" s="4" cm="1">
        <f t="array" ref="W9">ROUND(AVERAGE(_xlfn._xlws.FILTER($M$2:$M$1000, ($A$2:$A$1000=$U6) * ($C$2:$C$1000=W$8) * (LEFT($D$2:$D$1000,10)=$U5))),2)</f>
        <v>2.13</v>
      </c>
      <c r="Y9" t="s">
        <v>382</v>
      </c>
      <c r="Z9" s="4" cm="1">
        <f t="array" ref="Z9">ROUND(AVERAGE(_xlfn._xlws.FILTER($M$2:$M$1000, ($A$2:$A$1000=$Z$6) * ($C$2:$C$1000=Z$8) * ($B$2:$B$1000&gt;=$Z$7) * ($B$2:$B$1000&lt;=$AB$7) * (LEFT($D$2:$D$1000,10)=$Z$5))),2)</f>
        <v>1.55</v>
      </c>
      <c r="AA9" s="4" cm="1">
        <f t="array" ref="AA9">ROUND(AVERAGE(_xlfn._xlws.FILTER($M$2:$M$1000, ($A$2:$A$1000=$Z$6) * ($C$2:$C$1000=AA$8) * ($B$2:$B$1000&gt;=$Z$7) * ($B$2:$B$1000&lt;=$AB$7) * (LEFT($D$2:$D$1000,10)=$Z$5))),2)</f>
        <v>1.58</v>
      </c>
      <c r="AB9" s="4" cm="1">
        <f t="array" ref="AB9">ROUND(AVERAGE(_xlfn._xlws.FILTER($M$2:$M$1000, ($A$2:$A$1000=$Z$6) * ($C$2:$C$1000=AB$8) * ($B$2:$B$1000&gt;=$Z$7) * ($B$2:$B$1000&lt;=$AB$7) * (LEFT($D$2:$D$1000,10)=$Z$5))),2)</f>
        <v>2.08</v>
      </c>
      <c r="AD9" t="s">
        <v>382</v>
      </c>
      <c r="AE9" s="4" cm="1">
        <f t="array" ref="AE9">ROUND(AVERAGE(_xlfn._xlws.FILTER($M$2:$M$1000, ($A$2:$A$1000=$AE6) * ($C$2:$C$1000=AE$8) * (LEFT($D$2:$D$1000,10)=$AE5))),2)</f>
        <v>1.95</v>
      </c>
      <c r="AF9" s="4" cm="1">
        <f t="array" ref="AF9">ROUND(AVERAGE(_xlfn._xlws.FILTER($M$2:$M$1000, ($A$2:$A$1000=$AE6) * ($C$2:$C$1000=AF$8) * (LEFT($D$2:$D$1000,10)=$AE5))),2)</f>
        <v>1.52</v>
      </c>
      <c r="AG9" s="4" cm="1">
        <f t="array" ref="AG9">ROUND(AVERAGE(_xlfn._xlws.FILTER($M$2:$M$1000, ($A$2:$A$1000=$AE6) * ($C$2:$C$1000=AG$8) * (LEFT($D$2:$D$1000,10)=$AE5))),2)</f>
        <v>1.46</v>
      </c>
      <c r="AI9" t="s">
        <v>382</v>
      </c>
      <c r="AJ9" s="4" cm="1">
        <f t="array" ref="AJ9">ROUND(AVERAGE(_xlfn._xlws.FILTER($M$2:$M$1000, ($A$2:$A$1000=$AJ$6) * ($C$2:$C$1000=AJ$8) * ($B$2:$B$1000&gt;=$AJ$7) * ($B$2:$B$1000&lt;=$AL$7) * (LEFT($D$2:$D$1000,10)=$AJ$5))),2)</f>
        <v>1.94</v>
      </c>
      <c r="AK9" s="4" cm="1">
        <f t="array" ref="AK9">ROUND(AVERAGE(_xlfn._xlws.FILTER($M$2:$M$1000, ($A$2:$A$1000=$AJ$6) * ($C$2:$C$1000=AK$8) * ($B$2:$B$1000&gt;=$AJ$7) * ($B$2:$B$1000&lt;=$AL$7) * (LEFT($D$2:$D$1000,10)=$AJ$5))),2)</f>
        <v>1.48</v>
      </c>
      <c r="AL9" s="4" cm="1">
        <f t="array" ref="AL9">ROUND(AVERAGE(_xlfn._xlws.FILTER($M$2:$M$1000, ($A$2:$A$1000=$AJ$6) * ($C$2:$C$1000=AL$8) * ($B$2:$B$1000&gt;=$AJ$7) * ($B$2:$B$1000&lt;=$AL$7) * (LEFT($D$2:$D$1000,10)=$AJ$5))),2)</f>
        <v>1.48</v>
      </c>
      <c r="AN9" s="23"/>
      <c r="AO9" s="23"/>
    </row>
    <row r="10" spans="1:41" x14ac:dyDescent="0.25">
      <c r="A10" t="s">
        <v>12</v>
      </c>
      <c r="B10">
        <v>9</v>
      </c>
      <c r="C10" t="s">
        <v>13</v>
      </c>
      <c r="D10" t="s">
        <v>338</v>
      </c>
      <c r="E10" t="s">
        <v>339</v>
      </c>
      <c r="F10" s="1">
        <v>1.3888888888888888E-5</v>
      </c>
      <c r="G10" t="s">
        <v>16</v>
      </c>
      <c r="H10">
        <v>5</v>
      </c>
      <c r="I10">
        <v>81</v>
      </c>
      <c r="J10">
        <v>86</v>
      </c>
      <c r="L10" t="s">
        <v>17</v>
      </c>
      <c r="M10" s="3">
        <f t="shared" si="0"/>
        <v>1.0180001612752676</v>
      </c>
      <c r="O10" t="s">
        <v>383</v>
      </c>
      <c r="P10" s="4" cm="1">
        <f t="array" ref="P10">ROUND(MEDIAN(IF(($A:$A=$P6)*($C:$C=P$8), $M:$M)),2)</f>
        <v>1.75</v>
      </c>
      <c r="Q10" s="4" cm="1">
        <f t="array" ref="Q10">ROUND(MEDIAN(IF(($A:$A=$P6)*($C:$C=Q$8), $M:$M)),2)</f>
        <v>1.44</v>
      </c>
      <c r="R10" s="4" cm="1">
        <f t="array" ref="R10">ROUND(MEDIAN(IF(($A:$A=$P6)*($C:$C=R$8), $M:$M)),2)</f>
        <v>1.57</v>
      </c>
      <c r="T10" t="s">
        <v>383</v>
      </c>
      <c r="U10" s="4" cm="1">
        <f t="array" ref="U10">ROUND(MEDIAN(_xlfn._xlws.FILTER($M$2:$M$1000, ($A$2:$A$1000=$U6) * ($C$2:$C$1000=U$8) * (LEFT($D$2:$D$1000,10)=$U5))),2)</f>
        <v>1.48</v>
      </c>
      <c r="V10" s="4" cm="1">
        <f t="array" ref="V10">ROUND(MEDIAN(_xlfn._xlws.FILTER($M$2:$M$1000, ($A$2:$A$1000=$U6) * ($C$2:$C$1000=V$8) * (LEFT($D$2:$D$1000,10)=$U5))),2)</f>
        <v>1.42</v>
      </c>
      <c r="W10" s="4" cm="1">
        <f t="array" ref="W10">ROUND(MEDIAN(_xlfn._xlws.FILTER($M$2:$M$1000, ($A$2:$A$1000=$U6) * ($C$2:$C$1000=W$8) * (LEFT($D$2:$D$1000,10)=$U5))),2)</f>
        <v>1.82</v>
      </c>
      <c r="Y10" t="s">
        <v>383</v>
      </c>
      <c r="Z10" s="4" cm="1">
        <f t="array" ref="Z10">ROUND(MEDIAN(_xlfn._xlws.FILTER($M$2:$M$1000, ($A$2:$A$1000=$Z6) * ($C$2:$C$1000=Z$8) *  ($B$2:$B$1000&gt;=$Z$7) * ($B$2:$B$1000&lt;=$AB$7) * (LEFT($D$2:$D$1000,10)=$Z5))),2)</f>
        <v>1.47</v>
      </c>
      <c r="AA10" s="4" cm="1">
        <f t="array" ref="AA10">ROUND(MEDIAN(_xlfn._xlws.FILTER($M$2:$M$1000, ($A$2:$A$1000=$Z6) * ($C$2:$C$1000=AA$8) *  ($B$2:$B$1000&gt;=$Z$7) * ($B$2:$B$1000&lt;=$AB$7) * (LEFT($D$2:$D$1000,10)=$Z5))),2)</f>
        <v>1.43</v>
      </c>
      <c r="AB10" s="4" cm="1">
        <f t="array" ref="AB10">ROUND(MEDIAN(_xlfn._xlws.FILTER($M$2:$M$1000, ($A$2:$A$1000=$Z6) * ($C$2:$C$1000=AB$8) *  ($B$2:$B$1000&gt;=$Z$7) * ($B$2:$B$1000&lt;=$AB$7) * (LEFT($D$2:$D$1000,10)=$Z5))),2)</f>
        <v>1.79</v>
      </c>
      <c r="AD10" t="s">
        <v>383</v>
      </c>
      <c r="AE10" s="4" cm="1">
        <f t="array" ref="AE10">ROUND(MEDIAN(_xlfn._xlws.FILTER($M$2:$M$1000, ($A$2:$A$1000=$AE6) * ($C$2:$C$1000=AE$8) * (LEFT($D$2:$D$1000,10)=$AE5))),2)</f>
        <v>1.89</v>
      </c>
      <c r="AF10" s="4" cm="1">
        <f t="array" ref="AF10">ROUND(MEDIAN(_xlfn._xlws.FILTER($M$2:$M$1000, ($A$2:$A$1000=$AE6) * ($C$2:$C$1000=AF$8) * (LEFT($D$2:$D$1000,10)=$AE5))),2)</f>
        <v>1.59</v>
      </c>
      <c r="AG10" s="4" cm="1">
        <f t="array" ref="AG10">ROUND(MEDIAN(_xlfn._xlws.FILTER($M$2:$M$1000, ($A$2:$A$1000=$AE6) * ($C$2:$C$1000=AG$8) * (LEFT($D$2:$D$1000,10)=$AE5))),2)</f>
        <v>1.5</v>
      </c>
      <c r="AI10" t="s">
        <v>383</v>
      </c>
      <c r="AJ10" s="4" cm="1">
        <f t="array" ref="AJ10">ROUND(MEDIAN(_xlfn._xlws.FILTER($M$2:$M$1000, ($A$2:$A$1000=$AJ6) * ($C$2:$C$1000=AJ$8) *  ($B$2:$B$1000&gt;=$AJ$7) * ($B$2:$B$1000&lt;=$AL$7) * (LEFT($D$2:$D$1000,10)=$AJ5))),2)</f>
        <v>1.8</v>
      </c>
      <c r="AK10" s="4" cm="1">
        <f t="array" ref="AK10">ROUND(MEDIAN(_xlfn._xlws.FILTER($M$2:$M$1000, ($A$2:$A$1000=$AJ6) * ($C$2:$C$1000=AK$8) *  ($B$2:$B$1000&gt;=$AJ$7) * ($B$2:$B$1000&lt;=$AL$7) * (LEFT($D$2:$D$1000,10)=$AJ5))),2)</f>
        <v>1.51</v>
      </c>
      <c r="AL10" s="4" cm="1">
        <f t="array" ref="AL10">ROUND(MEDIAN(_xlfn._xlws.FILTER($M$2:$M$1000, ($A$2:$A$1000=$AJ6) * ($C$2:$C$1000=AL$8) *  ($B$2:$B$1000&gt;=$AJ$7) * ($B$2:$B$1000&lt;=$AL$7) * (LEFT($D$2:$D$1000,10)=$AJ5))),2)</f>
        <v>1.5</v>
      </c>
    </row>
    <row r="11" spans="1:41" x14ac:dyDescent="0.25">
      <c r="A11" t="s">
        <v>12</v>
      </c>
      <c r="B11">
        <v>10</v>
      </c>
      <c r="C11" t="s">
        <v>13</v>
      </c>
      <c r="D11" t="s">
        <v>340</v>
      </c>
      <c r="E11" t="s">
        <v>341</v>
      </c>
      <c r="F11" s="1">
        <v>1.7361111111111111E-5</v>
      </c>
      <c r="G11" t="s">
        <v>16</v>
      </c>
      <c r="H11">
        <v>5</v>
      </c>
      <c r="I11">
        <v>81</v>
      </c>
      <c r="J11">
        <v>86</v>
      </c>
      <c r="L11" t="s">
        <v>17</v>
      </c>
      <c r="M11" s="3">
        <f t="shared" si="0"/>
        <v>1.0459999088197947</v>
      </c>
      <c r="O11" t="s">
        <v>631</v>
      </c>
      <c r="P11" s="19" cm="1">
        <f t="array" ref="P11">ROUND(_xlfn.QUARTILE.INC(IF(($A:$A=$P6)*($C:$C=P$8),$M:$M),1),2)</f>
        <v>1.49</v>
      </c>
      <c r="Q11" s="19" cm="1">
        <f t="array" ref="Q11">ROUND(_xlfn.QUARTILE.INC(IF(($A:$A=$P6)*($C:$C=Q$8),$M:$M),1),2)</f>
        <v>1.34</v>
      </c>
      <c r="R11" s="19" cm="1">
        <f t="array" ref="R11">ROUND(_xlfn.QUARTILE.INC(IF(($A:$A=$P6)*($C:$C=R$8),$M:$M),1),2)</f>
        <v>1.39</v>
      </c>
      <c r="T11" t="s">
        <v>631</v>
      </c>
      <c r="U11" s="4" cm="1">
        <f t="array" ref="U11">ROUND(_xlfn.QUARTILE.INC(_xlfn._xlws.FILTER($M$2:$M$1000, ($A$2:$A$1000=$U6) * ($C$2:$C$1000=U$8) * (LEFT($D$2:$D$1000,10)=$U5)), 1),2)</f>
        <v>1.45</v>
      </c>
      <c r="V11" s="4" cm="1">
        <f t="array" ref="V11">ROUND(_xlfn.QUARTILE.INC(_xlfn._xlws.FILTER($M$2:$M$1000, ($A$2:$A$1000=$U6) * ($C$2:$C$1000=V$8) * (LEFT($D$2:$D$1000,10)=$U5)), 1),2)</f>
        <v>1.37</v>
      </c>
      <c r="W11" s="4" cm="1">
        <f t="array" ref="W11">ROUND(_xlfn.QUARTILE.INC(_xlfn._xlws.FILTER($M$2:$M$1000, ($A$2:$A$1000=$U6) * ($C$2:$C$1000=W$8) * (LEFT($D$2:$D$1000,10)=$U5)), 1),2)</f>
        <v>1.75</v>
      </c>
      <c r="Y11" t="s">
        <v>631</v>
      </c>
      <c r="Z11" s="4" cm="1">
        <f t="array" ref="Z11">ROUND(_xlfn.QUARTILE.INC(_xlfn._xlws.FILTER($M$2:$M$1000, ($A$2:$A$1000=$Z6) * ($C$2:$C$1000=Z$8) *  ($B$2:$B$1000&gt;=$Z$7) * ($B$2:$B$1000&lt;=$AB$7) * (LEFT($D$2:$D$1000,10)=$Z5)), 1),2)</f>
        <v>1.44</v>
      </c>
      <c r="AA11" s="4" cm="1">
        <f t="array" ref="AA11">ROUND(_xlfn.QUARTILE.INC(_xlfn._xlws.FILTER($M$2:$M$1000, ($A$2:$A$1000=$Z6) * ($C$2:$C$1000=AA$8) *  ($B$2:$B$1000&gt;=$Z$7) * ($B$2:$B$1000&lt;=$AB$7) * (LEFT($D$2:$D$1000,10)=$Z5)), 1),2)</f>
        <v>1.39</v>
      </c>
      <c r="AB11" s="4" cm="1">
        <f t="array" ref="AB11">ROUND(_xlfn.QUARTILE.INC(_xlfn._xlws.FILTER($M$2:$M$1000, ($A$2:$A$1000=$Z6) * ($C$2:$C$1000=AB$8) *  ($B$2:$B$1000&gt;=$Z$7) * ($B$2:$B$1000&lt;=$AB$7) * (LEFT($D$2:$D$1000,10)=$Z5)), 1),2)</f>
        <v>1.66</v>
      </c>
      <c r="AD11" t="s">
        <v>631</v>
      </c>
      <c r="AE11" s="4" cm="1">
        <f t="array" ref="AE11">ROUND(_xlfn.QUARTILE.INC(_xlfn._xlws.FILTER($M$2:$M$1000, ($A$2:$A$1000=$AE6) * ($C$2:$C$1000=AE$8) * (LEFT($D$2:$D$1000,10)=$AE5)), 1),2)</f>
        <v>1.75</v>
      </c>
      <c r="AF11" s="4" cm="1">
        <f t="array" ref="AF11">ROUND(_xlfn.QUARTILE.INC(_xlfn._xlws.FILTER($M$2:$M$1000, ($A$2:$A$1000=$AE6) * ($C$2:$C$1000=AF$8) * (LEFT($D$2:$D$1000,10)=$AE5)), 1),2)</f>
        <v>1.3</v>
      </c>
      <c r="AG11" s="4" cm="1">
        <f t="array" ref="AG11">ROUND(_xlfn.QUARTILE.INC(_xlfn._xlws.FILTER($M$2:$M$1000, ($A$2:$A$1000=$AE6) * ($C$2:$C$1000=AG$8) * (LEFT($D$2:$D$1000,10)=$AE5)), 1),2)</f>
        <v>1.33</v>
      </c>
      <c r="AI11" t="s">
        <v>631</v>
      </c>
      <c r="AJ11" s="4" cm="1">
        <f t="array" ref="AJ11">ROUND(_xlfn.QUARTILE.INC(_xlfn._xlws.FILTER($M$2:$M$1000, ($A$2:$A$1000=$AJ6) * ($C$2:$C$1000=AJ$8) *  ($B$2:$B$1000&gt;=$AJ$7) * ($B$2:$B$1000&lt;=$AL$7) * (LEFT($D$2:$D$1000,10)=$AJ5)), 1),2)</f>
        <v>1.74</v>
      </c>
      <c r="AK11" s="4" cm="1">
        <f t="array" ref="AK11">ROUND(_xlfn.QUARTILE.INC(_xlfn._xlws.FILTER($M$2:$M$1000, ($A$2:$A$1000=$AJ6) * ($C$2:$C$1000=AK$8) *  ($B$2:$B$1000&gt;=$AJ$7) * ($B$2:$B$1000&lt;=$AL$7) * (LEFT($D$2:$D$1000,10)=$AJ5)), 1),2)</f>
        <v>1.25</v>
      </c>
      <c r="AL11" s="4" cm="1">
        <f t="array" ref="AL11">ROUND(_xlfn.QUARTILE.INC(_xlfn._xlws.FILTER($M$2:$M$1000, ($A$2:$A$1000=$AJ6) * ($C$2:$C$1000=AL$8) *  ($B$2:$B$1000&gt;=$AJ$7) * ($B$2:$B$1000&lt;=$AL$7) * (LEFT($D$2:$D$1000,10)=$AJ5)), 1),2)</f>
        <v>1.35</v>
      </c>
    </row>
    <row r="12" spans="1:41" x14ac:dyDescent="0.25">
      <c r="A12" t="s">
        <v>12</v>
      </c>
      <c r="B12">
        <v>1</v>
      </c>
      <c r="C12" t="s">
        <v>36</v>
      </c>
      <c r="D12" t="s">
        <v>342</v>
      </c>
      <c r="E12" t="s">
        <v>343</v>
      </c>
      <c r="F12" s="1">
        <v>1.2731481481481482E-5</v>
      </c>
      <c r="G12" t="s">
        <v>16</v>
      </c>
      <c r="H12">
        <v>5</v>
      </c>
      <c r="I12">
        <v>173</v>
      </c>
      <c r="J12">
        <v>178</v>
      </c>
      <c r="L12" t="s">
        <v>17</v>
      </c>
      <c r="M12" s="3">
        <f t="shared" si="0"/>
        <v>1.0120003949850798</v>
      </c>
      <c r="O12" t="s">
        <v>632</v>
      </c>
      <c r="P12" s="19" cm="1">
        <f t="array" ref="P12">ROUND(_xlfn.QUARTILE.INC(IF(($A:$A=$P6)*($C:$C=P$8),$M:$M),3),2)</f>
        <v>1.87</v>
      </c>
      <c r="Q12" s="19" cm="1">
        <f t="array" ref="Q12">ROUND(_xlfn.QUARTILE.INC(IF(($A:$A=$P6)*($C:$C=Q$8),$M:$M),3),2)</f>
        <v>1.72</v>
      </c>
      <c r="R12" s="19" cm="1">
        <f t="array" ref="R12">ROUND(_xlfn.QUARTILE.INC(IF(($A:$A=$P6)*($C:$C=R$8),$M:$M),3),2)</f>
        <v>1.81</v>
      </c>
      <c r="T12" t="s">
        <v>632</v>
      </c>
      <c r="U12" s="4" cm="1">
        <f t="array" ref="U12">ROUND(_xlfn.QUARTILE.INC(_xlfn._xlws.FILTER($M$2:$M$1000, ($A$2:$A$1000=$U6) * ($C$2:$C$1000=U$8) * (LEFT($D$2:$D$1000,10)=$U5)), 3),2)</f>
        <v>1.73</v>
      </c>
      <c r="V12" s="4" cm="1">
        <f t="array" ref="V12">ROUND(_xlfn.QUARTILE.INC(_xlfn._xlws.FILTER($M$2:$M$1000, ($A$2:$A$1000=$U6) * ($C$2:$C$1000=V$8) * (LEFT($D$2:$D$1000,10)=$U5)), 3),2)</f>
        <v>1.69</v>
      </c>
      <c r="W12" s="4" cm="1">
        <f t="array" ref="W12">ROUND(_xlfn.QUARTILE.INC(_xlfn._xlws.FILTER($M$2:$M$1000, ($A$2:$A$1000=$U6) * ($C$2:$C$1000=W$8) * (LEFT($D$2:$D$1000,10)=$U5)), 3),2)</f>
        <v>2.6</v>
      </c>
      <c r="Y12" t="s">
        <v>632</v>
      </c>
      <c r="Z12" s="4" cm="1">
        <f t="array" ref="Z12">ROUND(_xlfn.QUARTILE.INC(_xlfn._xlws.FILTER($M$2:$M$1000, ($A$2:$A$1000=$Z6) * ($C$2:$C$1000=Z$8) *  ($B$2:$B$1000&gt;=$Z$7) * ($B$2:$B$1000&lt;=$AB$7) * (LEFT($D$2:$D$1000,10)=$Z5)), 3),2)</f>
        <v>1.61</v>
      </c>
      <c r="AA12" s="4" cm="1">
        <f t="array" ref="AA12">ROUND(_xlfn.QUARTILE.INC(_xlfn._xlws.FILTER($M$2:$M$1000, ($A$2:$A$1000=$Z6) * ($C$2:$C$1000=AA$8) *  ($B$2:$B$1000&gt;=$Z$7) * ($B$2:$B$1000&lt;=$AB$7) * (LEFT($D$2:$D$1000,10)=$Z5)), 3),2)</f>
        <v>1.8</v>
      </c>
      <c r="AB12" s="4" cm="1">
        <f t="array" ref="AB12">ROUND(_xlfn.QUARTILE.INC(_xlfn._xlws.FILTER($M$2:$M$1000, ($A$2:$A$1000=$Z6) * ($C$2:$C$1000=AB$8) *  ($B$2:$B$1000&gt;=$Z$7) * ($B$2:$B$1000&lt;=$AB$7) * (LEFT($D$2:$D$1000,10)=$Z5)), 3),2)</f>
        <v>2.19</v>
      </c>
      <c r="AD12" t="s">
        <v>632</v>
      </c>
      <c r="AE12" s="4" cm="1">
        <f t="array" ref="AE12">ROUND(_xlfn.QUARTILE.INC(_xlfn._xlws.FILTER($M$2:$M$1000, ($A$2:$A$1000=$AE6) * ($C$2:$C$1000=AE$8) * (LEFT($D$2:$D$1000,10)=$AE5)), 3),2)</f>
        <v>2.0099999999999998</v>
      </c>
      <c r="AF12" s="4" cm="1">
        <f t="array" ref="AF12">ROUND(_xlfn.QUARTILE.INC(_xlfn._xlws.FILTER($M$2:$M$1000, ($A$2:$A$1000=$AE6) * ($C$2:$C$1000=AF$8) * (LEFT($D$2:$D$1000,10)=$AE5)), 3),2)</f>
        <v>1.69</v>
      </c>
      <c r="AG12" s="4" cm="1">
        <f t="array" ref="AG12">ROUND(_xlfn.QUARTILE.INC(_xlfn._xlws.FILTER($M$2:$M$1000, ($A$2:$A$1000=$AE6) * ($C$2:$C$1000=AG$8) * (LEFT($D$2:$D$1000,10)=$AE5)), 3),2)</f>
        <v>1.56</v>
      </c>
      <c r="AI12" t="s">
        <v>632</v>
      </c>
      <c r="AJ12" s="4" cm="1">
        <f t="array" ref="AJ12">ROUND(_xlfn.QUARTILE.INC(_xlfn._xlws.FILTER($M$2:$M$1000, ($A$2:$A$1000=$AJ6) * ($C$2:$C$1000=AJ$8) *  ($B$2:$B$1000&gt;=$AJ$7) * ($B$2:$B$1000&lt;=$AL$7) * (LEFT($D$2:$D$1000,10)=$AJ5)), 3),2)</f>
        <v>1.98</v>
      </c>
      <c r="AK12" s="4" cm="1">
        <f t="array" ref="AK12">ROUND(_xlfn.QUARTILE.INC(_xlfn._xlws.FILTER($M$2:$M$1000, ($A$2:$A$1000=$AJ6) * ($C$2:$C$1000=AK$8) *  ($B$2:$B$1000&gt;=$AJ$7) * ($B$2:$B$1000&lt;=$AL$7) * (LEFT($D$2:$D$1000,10)=$AJ5)), 3),2)</f>
        <v>1.65</v>
      </c>
      <c r="AL12" s="4" cm="1">
        <f t="array" ref="AL12">ROUND(_xlfn.QUARTILE.INC(_xlfn._xlws.FILTER($M$2:$M$1000, ($A$2:$A$1000=$AJ6) * ($C$2:$C$1000=AL$8) *  ($B$2:$B$1000&gt;=$AJ$7) * ($B$2:$B$1000&lt;=$AL$7) * (LEFT($D$2:$D$1000,10)=$AJ5)), 3),2)</f>
        <v>1.57</v>
      </c>
    </row>
    <row r="13" spans="1:41" x14ac:dyDescent="0.25">
      <c r="A13" t="s">
        <v>12</v>
      </c>
      <c r="B13">
        <v>2</v>
      </c>
      <c r="C13" t="s">
        <v>36</v>
      </c>
      <c r="D13" t="s">
        <v>344</v>
      </c>
      <c r="E13" t="s">
        <v>345</v>
      </c>
      <c r="F13" s="1">
        <v>1.3888888888888888E-5</v>
      </c>
      <c r="G13" t="s">
        <v>16</v>
      </c>
      <c r="H13">
        <v>5</v>
      </c>
      <c r="I13">
        <v>173</v>
      </c>
      <c r="J13">
        <v>178</v>
      </c>
      <c r="L13" t="s">
        <v>17</v>
      </c>
      <c r="M13" s="3">
        <f t="shared" si="0"/>
        <v>1.1659996351227164</v>
      </c>
      <c r="O13" t="s">
        <v>664</v>
      </c>
      <c r="P13" s="4">
        <f>ROUND(_xlfn.MINIFS($M:$M, $A:$A, $P6, $C:$C, P$8),2)</f>
        <v>1.42</v>
      </c>
      <c r="Q13" s="4">
        <f>ROUND(_xlfn.MINIFS($M:$M, $A:$A, $P6, $C:$C, Q$8),2)</f>
        <v>1.19</v>
      </c>
      <c r="R13" s="4">
        <f>ROUND(_xlfn.MINIFS($M:$M, $A:$A, $P6, $C:$C, R$8),2)</f>
        <v>1.2</v>
      </c>
      <c r="T13" t="s">
        <v>633</v>
      </c>
      <c r="U13" s="4" cm="1">
        <f t="array" ref="U13">ROUND(MIN(_xlfn._xlws.FILTER($M$2:$M$1000, ($A$2:$A$1000=$U6) * ($C$2:$C$1000=U$8) * (LEFT($D$2:$D$1000,10)=$U5))),2)</f>
        <v>1.42</v>
      </c>
      <c r="V13" s="4" cm="1">
        <f t="array" ref="V13">ROUND(MIN(_xlfn._xlws.FILTER($M$2:$M$1000, ($A$2:$A$1000=$U6) * ($C$2:$C$1000=V$8) * (LEFT($D$2:$D$1000,10)=$U5))),2)</f>
        <v>1.19</v>
      </c>
      <c r="W13" s="4" cm="1">
        <f t="array" ref="W13">ROUND(MIN(_xlfn._xlws.FILTER($M$2:$M$1000, ($A$2:$A$1000=$U6) * ($C$2:$C$1000=W$8) * (LEFT($D$2:$D$1000,10)=$U5))),2)</f>
        <v>1.2</v>
      </c>
      <c r="Y13" t="s">
        <v>633</v>
      </c>
      <c r="Z13" s="4" cm="1">
        <f t="array" ref="Z13">ROUND(MIN(_xlfn._xlws.FILTER($M$2:$M$1000, ($A$2:$A$1000=$Z6) * ($C$2:$C$1000=Z$8) *  ($B$2:$B$1000&gt;=$Z$7) * ($B$2:$B$1000&lt;=$AB$7) * (LEFT($D$2:$D$1000,10)=$Z5))),2)</f>
        <v>1.42</v>
      </c>
      <c r="AA13" s="4" cm="1">
        <f t="array" ref="AA13">ROUND(MIN(_xlfn._xlws.FILTER($M$2:$M$1000, ($A$2:$A$1000=$Z6) * ($C$2:$C$1000=AA$8) *  ($B$2:$B$1000&gt;=$Z$7) * ($B$2:$B$1000&lt;=$AB$7) * (LEFT($D$2:$D$1000,10)=$Z5))),2)</f>
        <v>1.28</v>
      </c>
      <c r="AB13" s="4" cm="1">
        <f t="array" ref="AB13">ROUND(MIN(_xlfn._xlws.FILTER($M$2:$M$1000, ($A$2:$A$1000=$Z6) * ($C$2:$C$1000=AB$8) *  ($B$2:$B$1000&gt;=$Z$7) * ($B$2:$B$1000&lt;=$AB$7) * (LEFT($D$2:$D$1000,10)=$Z5))),2)</f>
        <v>1.2</v>
      </c>
      <c r="AD13" t="s">
        <v>633</v>
      </c>
      <c r="AE13" s="4" cm="1">
        <f t="array" ref="AE13">ROUND(MIN(_xlfn._xlws.FILTER($M$2:$M$1000, ($A$2:$A$1000=$AE6) * ($C$2:$C$1000=AE$8) * (LEFT($D$2:$D$1000,10)=$AE5))),2)</f>
        <v>1.73</v>
      </c>
      <c r="AF13" s="4" cm="1">
        <f t="array" ref="AF13">ROUND(MIN(_xlfn._xlws.FILTER($M$2:$M$1000, ($A$2:$A$1000=$AE6) * ($C$2:$C$1000=AF$8) * (LEFT($D$2:$D$1000,10)=$AE5))),2)</f>
        <v>1.2</v>
      </c>
      <c r="AG13" s="4" cm="1">
        <f t="array" ref="AG13">ROUND(MIN(_xlfn._xlws.FILTER($M$2:$M$1000, ($A$2:$A$1000=$AE6) * ($C$2:$C$1000=AG$8) * (LEFT($D$2:$D$1000,10)=$AE5))),2)</f>
        <v>1.24</v>
      </c>
      <c r="AI13" t="s">
        <v>633</v>
      </c>
      <c r="AJ13" s="4" cm="1">
        <f t="array" ref="AJ13">ROUND(MIN(_xlfn._xlws.FILTER($M$2:$M$1000, ($A$2:$A$1000=$AJ6) * ($C$2:$C$1000=AJ$8) *  ($B$2:$B$1000&gt;=$AJ$7) * ($B$2:$B$1000&lt;=$AL$7) * (LEFT($D$2:$D$1000,10)=$AJ5))),2)</f>
        <v>1.73</v>
      </c>
      <c r="AK13" s="4" cm="1">
        <f t="array" ref="AK13">ROUND(MIN(_xlfn._xlws.FILTER($M$2:$M$1000, ($A$2:$A$1000=$AJ6) * ($C$2:$C$1000=AK$8) *  ($B$2:$B$1000&gt;=$AJ$7) * ($B$2:$B$1000&lt;=$AL$7) * (LEFT($D$2:$D$1000,10)=$AJ5))),2)</f>
        <v>1.2</v>
      </c>
      <c r="AL13" s="4" cm="1">
        <f t="array" ref="AL13">ROUND(MIN(_xlfn._xlws.FILTER($M$2:$M$1000, ($A$2:$A$1000=$AJ6) * ($C$2:$C$1000=AL$8) *  ($B$2:$B$1000&gt;=$AJ$7) * ($B$2:$B$1000&lt;=$AL$7) * (LEFT($D$2:$D$1000,10)=$AJ5))),2)</f>
        <v>1.24</v>
      </c>
    </row>
    <row r="14" spans="1:41" x14ac:dyDescent="0.25">
      <c r="A14" t="s">
        <v>12</v>
      </c>
      <c r="B14">
        <v>3</v>
      </c>
      <c r="C14" t="s">
        <v>36</v>
      </c>
      <c r="D14" t="s">
        <v>346</v>
      </c>
      <c r="E14" t="s">
        <v>347</v>
      </c>
      <c r="F14" s="1">
        <v>1.6203703703703704E-5</v>
      </c>
      <c r="G14" t="s">
        <v>16</v>
      </c>
      <c r="H14">
        <v>5</v>
      </c>
      <c r="I14">
        <v>173</v>
      </c>
      <c r="J14">
        <v>178</v>
      </c>
      <c r="L14" t="s">
        <v>17</v>
      </c>
      <c r="M14" s="3">
        <f t="shared" si="0"/>
        <v>1.0430000256747007</v>
      </c>
      <c r="O14" t="s">
        <v>665</v>
      </c>
      <c r="P14" s="4">
        <f>ROUND(_xlfn.MAXIFS($M:$M, $A:$A, $P6, $C:$C, P$8),2)</f>
        <v>2.68</v>
      </c>
      <c r="Q14" s="4">
        <f>ROUND(_xlfn.MAXIFS($M:$M, $A:$A, $P6, $C:$C, Q$8),2)</f>
        <v>2.11</v>
      </c>
      <c r="R14" s="4">
        <f>ROUND(_xlfn.MAXIFS($M:$M, $A:$A, $P6, $C:$C, R$8),2)</f>
        <v>3.7</v>
      </c>
      <c r="T14" t="s">
        <v>634</v>
      </c>
      <c r="U14" s="4" cm="1">
        <f t="array" ref="U14">ROUND(MAX(_xlfn._xlws.FILTER($M$2:$M$1000, ($A$2:$A$1000=$U6) * ($C$2:$C$1000=U$8) * (LEFT($D$2:$D$1000,10)=$U5))),2)</f>
        <v>1.8</v>
      </c>
      <c r="V14" s="4" cm="1">
        <f t="array" ref="V14">ROUND(MAX(_xlfn._xlws.FILTER($M$2:$M$1000, ($A$2:$A$1000=$U6) * ($C$2:$C$1000=V$8) * (LEFT($D$2:$D$1000,10)=$U5))),2)</f>
        <v>2.11</v>
      </c>
      <c r="W14" s="4" cm="1">
        <f t="array" ref="W14">ROUND(MAX(_xlfn._xlws.FILTER($M$2:$M$1000, ($A$2:$A$1000=$U6) * ($C$2:$C$1000=W$8) * (LEFT($D$2:$D$1000,10)=$U5))),2)</f>
        <v>3.7</v>
      </c>
      <c r="Y14" t="s">
        <v>634</v>
      </c>
      <c r="Z14" s="4" cm="1">
        <f t="array" ref="Z14">ROUND(MAX(_xlfn._xlws.FILTER($M$2:$M$1000, ($A$2:$A$1000=$Z6) * ($C$2:$C$1000=Z$8) *  ($B$2:$B$1000&gt;=$Z$7) * ($B$2:$B$1000&lt;=$AB$7) * (LEFT($D$2:$D$1000,10)=$Z5))),2)</f>
        <v>1.8</v>
      </c>
      <c r="AA14" s="4" cm="1">
        <f t="array" ref="AA14">ROUND(MAX(_xlfn._xlws.FILTER($M$2:$M$1000, ($A$2:$A$1000=$Z6) * ($C$2:$C$1000=AA$8) *  ($B$2:$B$1000&gt;=$Z$7) * ($B$2:$B$1000&lt;=$AB$7) * (LEFT($D$2:$D$1000,10)=$Z5))),2)</f>
        <v>2.11</v>
      </c>
      <c r="AB14" s="4" cm="1">
        <f t="array" ref="AB14">ROUND(MAX(_xlfn._xlws.FILTER($M$2:$M$1000, ($A$2:$A$1000=$Z6) * ($C$2:$C$1000=AB$8) *  ($B$2:$B$1000&gt;=$Z$7) * ($B$2:$B$1000&lt;=$AB$7) * (LEFT($D$2:$D$1000,10)=$Z5))),2)</f>
        <v>3.7</v>
      </c>
      <c r="AD14" t="s">
        <v>634</v>
      </c>
      <c r="AE14" s="4" cm="1">
        <f t="array" ref="AE14">ROUND(MAX(_xlfn._xlws.FILTER($M$2:$M$1000, ($A$2:$A$1000=$AE6) * ($C$2:$C$1000=AE$8) * (LEFT($D$2:$D$1000,10)=$AE5))),2)</f>
        <v>2.68</v>
      </c>
      <c r="AF14" s="4" cm="1">
        <f t="array" ref="AF14">ROUND(MAX(_xlfn._xlws.FILTER($M$2:$M$1000, ($A$2:$A$1000=$AE6) * ($C$2:$C$1000=AF$8) * (LEFT($D$2:$D$1000,10)=$AE5))),2)</f>
        <v>1.84</v>
      </c>
      <c r="AG14" s="4" cm="1">
        <f t="array" ref="AG14">ROUND(MAX(_xlfn._xlws.FILTER($M$2:$M$1000, ($A$2:$A$1000=$AE6) * ($C$2:$C$1000=AG$8) * (LEFT($D$2:$D$1000,10)=$AE5))),2)</f>
        <v>1.79</v>
      </c>
      <c r="AI14" t="s">
        <v>634</v>
      </c>
      <c r="AJ14" s="4" cm="1">
        <f t="array" ref="AJ14">ROUND(MAX(_xlfn._xlws.FILTER($M$2:$M$1000, ($A$2:$A$1000=$AJ6) * ($C$2:$C$1000=AJ$8) *  ($B$2:$B$1000&gt;=$AJ$7) * ($B$2:$B$1000&lt;=$AL$7) * (LEFT($D$2:$D$1000,10)=$AJ5))),2)</f>
        <v>2.68</v>
      </c>
      <c r="AK14" s="4" cm="1">
        <f t="array" ref="AK14">ROUND(MAX(_xlfn._xlws.FILTER($M$2:$M$1000, ($A$2:$A$1000=$AJ6) * ($C$2:$C$1000=AK$8) *  ($B$2:$B$1000&gt;=$AJ$7) * ($B$2:$B$1000&lt;=$AL$7) * (LEFT($D$2:$D$1000,10)=$AJ5))),2)</f>
        <v>1.78</v>
      </c>
      <c r="AL14" s="4" cm="1">
        <f t="array" ref="AL14">ROUND(MAX(_xlfn._xlws.FILTER($M$2:$M$1000, ($A$2:$A$1000=$AJ6) * ($C$2:$C$1000=AL$8) *  ($B$2:$B$1000&gt;=$AJ$7) * ($B$2:$B$1000&lt;=$AL$7) * (LEFT($D$2:$D$1000,10)=$AJ5))),2)</f>
        <v>1.79</v>
      </c>
    </row>
    <row r="15" spans="1:41" x14ac:dyDescent="0.25">
      <c r="A15" t="s">
        <v>12</v>
      </c>
      <c r="B15">
        <v>4</v>
      </c>
      <c r="C15" t="s">
        <v>36</v>
      </c>
      <c r="D15" t="s">
        <v>348</v>
      </c>
      <c r="E15" t="s">
        <v>349</v>
      </c>
      <c r="F15" s="1">
        <v>1.2731481481481482E-5</v>
      </c>
      <c r="G15" t="s">
        <v>16</v>
      </c>
      <c r="H15">
        <v>5</v>
      </c>
      <c r="I15">
        <v>173</v>
      </c>
      <c r="J15">
        <v>178</v>
      </c>
      <c r="L15" t="s">
        <v>17</v>
      </c>
      <c r="M15" s="3">
        <f t="shared" si="0"/>
        <v>1.0100000537931919</v>
      </c>
      <c r="O15" t="s">
        <v>663</v>
      </c>
      <c r="P15" s="4" cm="1">
        <f t="array" ref="P15">ROUND(_xlfn.STDEV.S(IF(($A:$A=$P6)*($C:$C=P$8), $M:$M)),2)</f>
        <v>0.3</v>
      </c>
      <c r="Q15" s="4" cm="1">
        <f t="array" ref="Q15">ROUND(_xlfn.STDEV.S(IF(($A:$A=$P6)*($C:$C=Q$8), $M:$M)),2)</f>
        <v>0.26</v>
      </c>
      <c r="R15" s="4" cm="1">
        <f t="array" ref="R15">ROUND(_xlfn.STDEV.S(IF(($A:$A=$P6)*($C:$C=R$8), $M:$M)),2)</f>
        <v>0.67</v>
      </c>
      <c r="T15" t="s">
        <v>663</v>
      </c>
      <c r="U15" s="4" cm="1">
        <f t="array" ref="U15">ROUND(_xlfn.STDEV.P(_xlfn._xlws.FILTER($M$2:$M$1000, ($A$2:$A$1000=$U6) * ($C$2:$C$1000=U$8) * (LEFT($D$2:$D$1000,10)=$U5))),2)</f>
        <v>0.15</v>
      </c>
      <c r="V15" s="4" cm="1">
        <f t="array" ref="V15">ROUND(_xlfn.STDEV.P(_xlfn._xlws.FILTER($M$2:$M$1000, ($A$2:$A$1000=$U6) * ($C$2:$C$1000=V$8) * (LEFT($D$2:$D$1000,10)=$U5))),2)</f>
        <v>0.28000000000000003</v>
      </c>
      <c r="W15" s="4" cm="1">
        <f t="array" ref="W15">ROUND(_xlfn.STDEV.P(_xlfn._xlws.FILTER($M$2:$M$1000, ($A$2:$A$1000=$U6) * ($C$2:$C$1000=W$8) * (LEFT($D$2:$D$1000,10)=$U5))),2)</f>
        <v>0.77</v>
      </c>
      <c r="Y15" t="s">
        <v>663</v>
      </c>
      <c r="Z15" s="4" cm="1">
        <f t="array" ref="Z15">ROUND(_xlfn.STDEV.P(_xlfn._xlws.FILTER($M$2:$M$1000, ($A$2:$A$1000=$Z6) * ($C$2:$C$1000=Z$8) *  ($B$2:$B$1000&gt;=$Z$7) * ($B$2:$B$1000&lt;=$AB$7) * (LEFT($D$2:$D$1000,10)=$Z5))),2)</f>
        <v>0.15</v>
      </c>
      <c r="AA15" s="4" cm="1">
        <f t="array" ref="AA15">ROUND(_xlfn.STDEV.P(_xlfn._xlws.FILTER($M$2:$M$1000, ($A$2:$A$1000=$Z6) * ($C$2:$C$1000=AA$8) *  ($B$2:$B$1000&gt;=$Z$7) * ($B$2:$B$1000&lt;=$AB$7) * (LEFT($D$2:$D$1000,10)=$Z5))),2)</f>
        <v>0.28000000000000003</v>
      </c>
      <c r="AB15" s="4" cm="1">
        <f t="array" ref="AB15">ROUND(_xlfn.STDEV.P(_xlfn._xlws.FILTER($M$2:$M$1000, ($A$2:$A$1000=$Z6) * ($C$2:$C$1000=AB$8) *  ($B$2:$B$1000&gt;=$Z$7) * ($B$2:$B$1000&lt;=$AB$7) * (LEFT($D$2:$D$1000,10)=$Z5))),2)</f>
        <v>0.82</v>
      </c>
      <c r="AD15" t="s">
        <v>663</v>
      </c>
      <c r="AE15" s="4" cm="1">
        <f t="array" ref="AE15">ROUND(_xlfn.STDEV.P(_xlfn._xlws.FILTER($M$2:$M$1000, ($A$2:$A$1000=$AE6) * ($C$2:$C$1000=AE$8) * (LEFT($D$2:$D$1000,10)=$AE5))),2)</f>
        <v>0.27</v>
      </c>
      <c r="AF15" s="4" cm="1">
        <f t="array" ref="AF15">ROUND(_xlfn.STDEV.P(_xlfn._xlws.FILTER($M$2:$M$1000, ($A$2:$A$1000=$AE6) * ($C$2:$C$1000=AF$8) * (LEFT($D$2:$D$1000,10)=$AE5))),2)</f>
        <v>0.22</v>
      </c>
      <c r="AG15" s="4" cm="1">
        <f t="array" ref="AG15">ROUND(_xlfn.STDEV.P(_xlfn._xlws.FILTER($M$2:$M$1000, ($A$2:$A$1000=$AE6) * ($C$2:$C$1000=AG$8) * (LEFT($D$2:$D$1000,10)=$AE5))),2)</f>
        <v>0.16</v>
      </c>
      <c r="AI15" t="s">
        <v>663</v>
      </c>
      <c r="AJ15" s="4" cm="1">
        <f t="array" ref="AJ15">ROUND(_xlfn.STDEV.P(_xlfn._xlws.FILTER($M$2:$M$1000, ($A$2:$A$1000=$AJ6) * ($C$2:$C$1000=AJ$8) *  ($B$2:$B$1000&gt;=$AJ$7) * ($B$2:$B$1000&lt;=$AL$7) * (LEFT($D$2:$D$1000,10)=$AJ5))),2)</f>
        <v>0.3</v>
      </c>
      <c r="AK15" s="4" cm="1">
        <f t="array" ref="AK15">ROUND(_xlfn.STDEV.P(_xlfn._xlws.FILTER($M$2:$M$1000, ($A$2:$A$1000=$AJ6) * ($C$2:$C$1000=AK$8) *  ($B$2:$B$1000&gt;=$AJ$7) * ($B$2:$B$1000&lt;=$AL$7) * (LEFT($D$2:$D$1000,10)=$AJ5))),2)</f>
        <v>0.22</v>
      </c>
      <c r="AL15" s="4" cm="1">
        <f t="array" ref="AL15">ROUND(_xlfn.STDEV.P(_xlfn._xlws.FILTER($M$2:$M$1000, ($A$2:$A$1000=$AJ6) * ($C$2:$C$1000=AL$8) *  ($B$2:$B$1000&gt;=$AJ$7) * ($B$2:$B$1000&lt;=$AL$7) * (LEFT($D$2:$D$1000,10)=$AJ5))),2)</f>
        <v>0.16</v>
      </c>
    </row>
    <row r="16" spans="1:41" x14ac:dyDescent="0.25">
      <c r="A16" t="s">
        <v>12</v>
      </c>
      <c r="B16">
        <v>5</v>
      </c>
      <c r="C16" t="s">
        <v>36</v>
      </c>
      <c r="D16" t="s">
        <v>350</v>
      </c>
      <c r="E16" t="s">
        <v>351</v>
      </c>
      <c r="F16" s="1">
        <v>1.6203703703703704E-5</v>
      </c>
      <c r="G16" t="s">
        <v>16</v>
      </c>
      <c r="H16">
        <v>5</v>
      </c>
      <c r="I16">
        <v>173</v>
      </c>
      <c r="J16">
        <v>178</v>
      </c>
      <c r="L16" t="s">
        <v>17</v>
      </c>
      <c r="M16" s="3">
        <f t="shared" si="0"/>
        <v>1.0430000256747007</v>
      </c>
      <c r="O16" t="s">
        <v>384</v>
      </c>
      <c r="P16" s="4" cm="1">
        <f t="array" ref="P16">ROUND(_xlfn.PERCENTILE.INC(IF(($A:$A=$P6)*($C:$C=P$8), $M:$M), 0.9),2)</f>
        <v>2.04</v>
      </c>
      <c r="Q16" s="4" cm="1">
        <f t="array" ref="Q16">ROUND(_xlfn.PERCENTILE.INC(IF(($A:$A=$P6)*($C:$C=Q$8), $M:$M), 0.9),2)</f>
        <v>1.84</v>
      </c>
      <c r="R16" s="4" cm="1">
        <f t="array" ref="R16">ROUND(_xlfn.PERCENTILE.INC(IF(($A:$A=$P6)*($C:$C=R$8), $M:$M), 0.9),2)</f>
        <v>2.88</v>
      </c>
      <c r="T16" t="s">
        <v>384</v>
      </c>
      <c r="U16" s="4" cm="1">
        <f t="array" ref="U16">ROUND(_xlfn.PERCENTILE.INC(_xlfn._xlws.FILTER($M$2:$M$1000, ($A$2:$A$1000=$U6) * ($C$2:$C$1000=U$8) * (LEFT($D$2:$D$1000,10)=$U5)), 0.9),2)</f>
        <v>1.8</v>
      </c>
      <c r="V16" s="4" cm="1">
        <f t="array" ref="V16">ROUND(_xlfn.PERCENTILE.INC(_xlfn._xlws.FILTER($M$2:$M$1000, ($A$2:$A$1000=$U6) * ($C$2:$C$1000=V$8) * (LEFT($D$2:$D$1000,10)=$U5)), 0.9),2)</f>
        <v>1.89</v>
      </c>
      <c r="W16" s="4" cm="1">
        <f t="array" ref="W16">ROUND(_xlfn.PERCENTILE.INC(_xlfn._xlws.FILTER($M$2:$M$1000, ($A$2:$A$1000=$U6) * ($C$2:$C$1000=W$8) * (LEFT($D$2:$D$1000,10)=$U5)), 0.9),2)</f>
        <v>3.22</v>
      </c>
      <c r="Y16" t="s">
        <v>384</v>
      </c>
      <c r="Z16" s="4" cm="1">
        <f t="array" ref="Z16">ROUND(_xlfn.PERCENTILE.INC(_xlfn._xlws.FILTER($M$2:$M$1000, ($A$2:$A$1000=$Z6) * ($C$2:$C$1000=Z$8) *  ($B$2:$B$1000&gt;=$Z$7) * ($B$2:$B$1000&lt;=$AB$7) * (LEFT($D$2:$D$1000,10)=$Z5)), 0.9),2)</f>
        <v>1.79</v>
      </c>
      <c r="AA16" s="4" cm="1">
        <f t="array" ref="AA16">ROUND(_xlfn.PERCENTILE.INC(_xlfn._xlws.FILTER($M$2:$M$1000, ($A$2:$A$1000=$Z6) * ($C$2:$C$1000=AA$8) *  ($B$2:$B$1000&gt;=$Z$7) * ($B$2:$B$1000&lt;=$AB$7) * (LEFT($D$2:$D$1000,10)=$Z5)), 0.9),2)</f>
        <v>1.94</v>
      </c>
      <c r="AB16" s="4" cm="1">
        <f t="array" ref="AB16">ROUND(_xlfn.PERCENTILE.INC(_xlfn._xlws.FILTER($M$2:$M$1000, ($A$2:$A$1000=$Z6) * ($C$2:$C$1000=AB$8) *  ($B$2:$B$1000&gt;=$Z$7) * ($B$2:$B$1000&lt;=$AB$7) * (LEFT($D$2:$D$1000,10)=$Z5)), 0.9),2)</f>
        <v>3.32</v>
      </c>
      <c r="AD16" t="s">
        <v>384</v>
      </c>
      <c r="AE16" s="4" cm="1">
        <f t="array" ref="AE16">ROUND(_xlfn.PERCENTILE.INC(_xlfn._xlws.FILTER($M$2:$M$1000, ($A$2:$A$1000=$AE6) * ($C$2:$C$1000=AE$8) * (LEFT($D$2:$D$1000,10)=$AE5)), 0.9),2)</f>
        <v>2.14</v>
      </c>
      <c r="AF16" s="4" cm="1">
        <f t="array" ref="AF16">ROUND(_xlfn.PERCENTILE.INC(_xlfn._xlws.FILTER($M$2:$M$1000, ($A$2:$A$1000=$AE6) * ($C$2:$C$1000=AF$8) * (LEFT($D$2:$D$1000,10)=$AE5)), 0.9),2)</f>
        <v>1.79</v>
      </c>
      <c r="AG16" s="4" cm="1">
        <f t="array" ref="AG16">ROUND(_xlfn.PERCENTILE.INC(_xlfn._xlws.FILTER($M$2:$M$1000, ($A$2:$A$1000=$AE6) * ($C$2:$C$1000=AG$8) * (LEFT($D$2:$D$1000,10)=$AE5)), 0.9),2)</f>
        <v>1.59</v>
      </c>
      <c r="AI16" t="s">
        <v>384</v>
      </c>
      <c r="AJ16" s="4" cm="1">
        <f t="array" ref="AJ16">ROUND(_xlfn.PERCENTILE.INC(_xlfn._xlws.FILTER($M$2:$M$1000, ($A$2:$A$1000=$AJ6) * ($C$2:$C$1000=AJ$8) *  ($B$2:$B$1000&gt;=$AJ$7) * ($B$2:$B$1000&lt;=$AL$7) * (LEFT($D$2:$D$1000,10)=$AJ5)), 0.9),2)</f>
        <v>2.2599999999999998</v>
      </c>
      <c r="AK16" s="4" cm="1">
        <f t="array" ref="AK16">ROUND(_xlfn.PERCENTILE.INC(_xlfn._xlws.FILTER($M$2:$M$1000, ($A$2:$A$1000=$AJ6) * ($C$2:$C$1000=AK$8) *  ($B$2:$B$1000&gt;=$AJ$7) * ($B$2:$B$1000&lt;=$AL$7) * (LEFT($D$2:$D$1000,10)=$AJ5)), 0.9),2)</f>
        <v>1.73</v>
      </c>
      <c r="AL16" s="4" cm="1">
        <f t="array" ref="AL16">ROUND(_xlfn.PERCENTILE.INC(_xlfn._xlws.FILTER($M$2:$M$1000, ($A$2:$A$1000=$AJ6) * ($C$2:$C$1000=AL$8) *  ($B$2:$B$1000&gt;=$AJ$7) * ($B$2:$B$1000&lt;=$AL$7) * (LEFT($D$2:$D$1000,10)=$AJ5)), 0.9),2)</f>
        <v>1.64</v>
      </c>
    </row>
    <row r="17" spans="1:38" x14ac:dyDescent="0.25">
      <c r="A17" t="s">
        <v>12</v>
      </c>
      <c r="B17">
        <v>6</v>
      </c>
      <c r="C17" t="s">
        <v>36</v>
      </c>
      <c r="D17" t="s">
        <v>352</v>
      </c>
      <c r="E17" t="s">
        <v>353</v>
      </c>
      <c r="F17" s="1">
        <v>1.9675925925925925E-5</v>
      </c>
      <c r="G17" t="s">
        <v>16</v>
      </c>
      <c r="H17">
        <v>5</v>
      </c>
      <c r="I17">
        <v>173</v>
      </c>
      <c r="J17">
        <v>178</v>
      </c>
      <c r="L17" t="s">
        <v>17</v>
      </c>
      <c r="M17" s="3">
        <f t="shared" si="0"/>
        <v>1.0670003481209278</v>
      </c>
      <c r="O17" t="s">
        <v>635</v>
      </c>
      <c r="P17" s="4" cm="1">
        <f t="array" ref="P17">ROUND(_xlfn.PERCENTILE.INC(IF(($A:$A=$P6)*($C:$C=P$8), $M:$M), 0.95),2)</f>
        <v>2.11</v>
      </c>
      <c r="Q17" s="4" cm="1">
        <f t="array" ref="Q17">ROUND(_xlfn.PERCENTILE.INC(IF(($A:$A=$P6)*($C:$C=Q$8), $M:$M), 0.95),2)</f>
        <v>1.88</v>
      </c>
      <c r="R17" s="4" cm="1">
        <f t="array" ref="R17">ROUND(_xlfn.PERCENTILE.INC(IF(($A:$A=$P6)*($C:$C=R$8), $M:$M), 0.95),2)</f>
        <v>3.19</v>
      </c>
      <c r="T17" t="s">
        <v>635</v>
      </c>
      <c r="U17" s="4" cm="1">
        <f t="array" ref="U17">ROUND(_xlfn.PERCENTILE.INC(_xlfn._xlws.FILTER($M$2:$M$1000, ($A$2:$A$1000=$U6) * ($C$2:$C$1000=U$8) * (LEFT($D$2:$D$1000,10)=$U5)), 0.95),2)</f>
        <v>1.8</v>
      </c>
      <c r="V17" s="4" cm="1">
        <f t="array" ref="V17">ROUND(_xlfn.PERCENTILE.INC(_xlfn._xlws.FILTER($M$2:$M$1000, ($A$2:$A$1000=$U6) * ($C$2:$C$1000=V$8) * (LEFT($D$2:$D$1000,10)=$U5)), 0.95),2)</f>
        <v>2</v>
      </c>
      <c r="W17" s="4" cm="1">
        <f t="array" ref="W17">ROUND(_xlfn.PERCENTILE.INC(_xlfn._xlws.FILTER($M$2:$M$1000, ($A$2:$A$1000=$U6) * ($C$2:$C$1000=W$8) * (LEFT($D$2:$D$1000,10)=$U5)), 0.95),2)</f>
        <v>3.46</v>
      </c>
      <c r="Y17" t="s">
        <v>635</v>
      </c>
      <c r="Z17" s="4" cm="1">
        <f t="array" ref="Z17">ROUND(_xlfn.PERCENTILE.INC(_xlfn._xlws.FILTER($M$2:$M$1000, ($A$2:$A$1000=$Z6) * ($C$2:$C$1000=Z$8) *  ($B$2:$B$1000&gt;=$Z$7) * ($B$2:$B$1000&lt;=$AB$7) * (LEFT($D$2:$D$1000,10)=$Z5)), 0.95),2)</f>
        <v>1.79</v>
      </c>
      <c r="AA17" s="4" cm="1">
        <f t="array" ref="AA17">ROUND(_xlfn.PERCENTILE.INC(_xlfn._xlws.FILTER($M$2:$M$1000, ($A$2:$A$1000=$Z6) * ($C$2:$C$1000=AA$8) *  ($B$2:$B$1000&gt;=$Z$7) * ($B$2:$B$1000&lt;=$AB$7) * (LEFT($D$2:$D$1000,10)=$Z5)), 0.95),2)</f>
        <v>2.0299999999999998</v>
      </c>
      <c r="AB17" s="4" cm="1">
        <f t="array" ref="AB17">ROUND(_xlfn.PERCENTILE.INC(_xlfn._xlws.FILTER($M$2:$M$1000, ($A$2:$A$1000=$Z6) * ($C$2:$C$1000=AB$8) *  ($B$2:$B$1000&gt;=$Z$7) * ($B$2:$B$1000&lt;=$AB$7) * (LEFT($D$2:$D$1000,10)=$Z5)), 0.95),2)</f>
        <v>3.51</v>
      </c>
      <c r="AD17" t="s">
        <v>635</v>
      </c>
      <c r="AE17" s="4" cm="1">
        <f t="array" ref="AE17">ROUND(_xlfn.PERCENTILE.INC(_xlfn._xlws.FILTER($M$2:$M$1000, ($A$2:$A$1000=$AE6) * ($C$2:$C$1000=AE$8) * (LEFT($D$2:$D$1000,10)=$AE5)), 0.95),2)</f>
        <v>2.41</v>
      </c>
      <c r="AF17" s="4" cm="1">
        <f t="array" ref="AF17">ROUND(_xlfn.PERCENTILE.INC(_xlfn._xlws.FILTER($M$2:$M$1000, ($A$2:$A$1000=$AE6) * ($C$2:$C$1000=AF$8) * (LEFT($D$2:$D$1000,10)=$AE5)), 0.95),2)</f>
        <v>1.81</v>
      </c>
      <c r="AG17" s="4" cm="1">
        <f t="array" ref="AG17">ROUND(_xlfn.PERCENTILE.INC(_xlfn._xlws.FILTER($M$2:$M$1000, ($A$2:$A$1000=$AE6) * ($C$2:$C$1000=AG$8) * (LEFT($D$2:$D$1000,10)=$AE5)), 0.95),2)</f>
        <v>1.69</v>
      </c>
      <c r="AI17" t="s">
        <v>635</v>
      </c>
      <c r="AJ17" s="4" cm="1">
        <f t="array" ref="AJ17">ROUND(_xlfn.PERCENTILE.INC(_xlfn._xlws.FILTER($M$2:$M$1000, ($A$2:$A$1000=$AJ6) * ($C$2:$C$1000=AJ$8) *  ($B$2:$B$1000&gt;=$AJ$7) * ($B$2:$B$1000&lt;=$AL$7) * (LEFT($D$2:$D$1000,10)=$AJ5)), 0.95),2)</f>
        <v>2.4700000000000002</v>
      </c>
      <c r="AK17" s="4" cm="1">
        <f t="array" ref="AK17">ROUND(_xlfn.PERCENTILE.INC(_xlfn._xlws.FILTER($M$2:$M$1000, ($A$2:$A$1000=$AJ6) * ($C$2:$C$1000=AK$8) *  ($B$2:$B$1000&gt;=$AJ$7) * ($B$2:$B$1000&lt;=$AL$7) * (LEFT($D$2:$D$1000,10)=$AJ5)), 0.95),2)</f>
        <v>1.75</v>
      </c>
      <c r="AL17" s="4" cm="1">
        <f t="array" ref="AL17">ROUND(_xlfn.PERCENTILE.INC(_xlfn._xlws.FILTER($M$2:$M$1000, ($A$2:$A$1000=$AJ6) * ($C$2:$C$1000=AL$8) *  ($B$2:$B$1000&gt;=$AJ$7) * ($B$2:$B$1000&lt;=$AL$7) * (LEFT($D$2:$D$1000,10)=$AJ5)), 0.95),2)</f>
        <v>1.72</v>
      </c>
    </row>
    <row r="18" spans="1:38" x14ac:dyDescent="0.25">
      <c r="A18" t="s">
        <v>12</v>
      </c>
      <c r="B18">
        <v>7</v>
      </c>
      <c r="C18" t="s">
        <v>36</v>
      </c>
      <c r="D18" t="s">
        <v>354</v>
      </c>
      <c r="E18" t="s">
        <v>355</v>
      </c>
      <c r="F18" s="1">
        <v>1.2731481481481482E-5</v>
      </c>
      <c r="G18" t="s">
        <v>16</v>
      </c>
      <c r="H18">
        <v>5</v>
      </c>
      <c r="I18">
        <v>173</v>
      </c>
      <c r="J18">
        <v>178</v>
      </c>
      <c r="L18" t="s">
        <v>17</v>
      </c>
      <c r="M18" s="3">
        <f t="shared" si="0"/>
        <v>1.0129999369382858</v>
      </c>
      <c r="O18" t="s">
        <v>385</v>
      </c>
      <c r="P18" s="4" cm="1">
        <f t="array" ref="P18">ROUND(_xlfn.PERCENTILE.INC(IF(($A:$A=$P6)*($C:$C=P$8), $M:$M), 0.99),2)</f>
        <v>2.57</v>
      </c>
      <c r="Q18" s="4" cm="1">
        <f t="array" ref="Q18">ROUND(_xlfn.PERCENTILE.INC(IF(($A:$A=$P6)*($C:$C=Q$8), $M:$M), 0.99),2)</f>
        <v>2.06</v>
      </c>
      <c r="R18" s="4" cm="1">
        <f t="array" ref="R18">ROUND(_xlfn.PERCENTILE.INC(IF(($A:$A=$P6)*($C:$C=R$8), $M:$M), 0.99),2)</f>
        <v>3.6</v>
      </c>
      <c r="T18" t="s">
        <v>385</v>
      </c>
      <c r="U18" s="4" cm="1">
        <f t="array" ref="U18">ROUND(_xlfn.PERCENTILE.INC(_xlfn._xlws.FILTER($M$2:$M$1000, ($A$2:$A$1000=$U6) * ($C$2:$C$1000=U$8) * (LEFT($D$2:$D$1000,10)=$U5)), 0.99),2)</f>
        <v>1.8</v>
      </c>
      <c r="V18" s="4" cm="1">
        <f t="array" ref="V18">ROUND(_xlfn.PERCENTILE.INC(_xlfn._xlws.FILTER($M$2:$M$1000, ($A$2:$A$1000=$U6) * ($C$2:$C$1000=V$8) * (LEFT($D$2:$D$1000,10)=$U5)), 0.99),2)</f>
        <v>2.09</v>
      </c>
      <c r="W18" s="4" cm="1">
        <f t="array" ref="W18">ROUND(_xlfn.PERCENTILE.INC(_xlfn._xlws.FILTER($M$2:$M$1000, ($A$2:$A$1000=$U6) * ($C$2:$C$1000=W$8) * (LEFT($D$2:$D$1000,10)=$U5)), 0.99),2)</f>
        <v>3.65</v>
      </c>
      <c r="Y18" t="s">
        <v>385</v>
      </c>
      <c r="Z18" s="4" cm="1">
        <f t="array" ref="Z18">ROUND(_xlfn.PERCENTILE.INC(_xlfn._xlws.FILTER($M$2:$M$1000, ($A$2:$A$1000=$Z6) * ($C$2:$C$1000=Z$8) *  ($B$2:$B$1000&gt;=$Z$7) * ($B$2:$B$1000&lt;=$AB$7) * (LEFT($D$2:$D$1000,10)=$Z5)), 0.99),2)</f>
        <v>1.8</v>
      </c>
      <c r="AA18" s="4" cm="1">
        <f t="array" ref="AA18">ROUND(_xlfn.PERCENTILE.INC(_xlfn._xlws.FILTER($M$2:$M$1000, ($A$2:$A$1000=$Z6) * ($C$2:$C$1000=AA$8) *  ($B$2:$B$1000&gt;=$Z$7) * ($B$2:$B$1000&lt;=$AB$7) * (LEFT($D$2:$D$1000,10)=$Z5)), 0.99),2)</f>
        <v>2.09</v>
      </c>
      <c r="AB18" s="4" cm="1">
        <f t="array" ref="AB18">ROUND(_xlfn.PERCENTILE.INC(_xlfn._xlws.FILTER($M$2:$M$1000, ($A$2:$A$1000=$Z6) * ($C$2:$C$1000=AB$8) *  ($B$2:$B$1000&gt;=$Z$7) * ($B$2:$B$1000&lt;=$AB$7) * (LEFT($D$2:$D$1000,10)=$Z5)), 0.99),2)</f>
        <v>3.66</v>
      </c>
      <c r="AD18" t="s">
        <v>385</v>
      </c>
      <c r="AE18" s="4" cm="1">
        <f t="array" ref="AE18">ROUND(_xlfn.PERCENTILE.INC(_xlfn._xlws.FILTER($M$2:$M$1000, ($A$2:$A$1000=$AE6) * ($C$2:$C$1000=AE$8) * (LEFT($D$2:$D$1000,10)=$AE5)), 0.99),2)</f>
        <v>2.63</v>
      </c>
      <c r="AF18" s="4" cm="1">
        <f t="array" ref="AF18">ROUND(_xlfn.PERCENTILE.INC(_xlfn._xlws.FILTER($M$2:$M$1000, ($A$2:$A$1000=$AE6) * ($C$2:$C$1000=AF$8) * (LEFT($D$2:$D$1000,10)=$AE5)), 0.99),2)</f>
        <v>1.83</v>
      </c>
      <c r="AG18" s="4" cm="1">
        <f t="array" ref="AG18">ROUND(_xlfn.PERCENTILE.INC(_xlfn._xlws.FILTER($M$2:$M$1000, ($A$2:$A$1000=$AE6) * ($C$2:$C$1000=AG$8) * (LEFT($D$2:$D$1000,10)=$AE5)), 0.99),2)</f>
        <v>1.77</v>
      </c>
      <c r="AI18" t="s">
        <v>385</v>
      </c>
      <c r="AJ18" s="4" cm="1">
        <f t="array" ref="AJ18">ROUND(_xlfn.PERCENTILE.INC(_xlfn._xlws.FILTER($M$2:$M$1000, ($A$2:$A$1000=$AJ6) * ($C$2:$C$1000=AJ$8) *  ($B$2:$B$1000&gt;=$AJ$7) * ($B$2:$B$1000&lt;=$AL$7) * (LEFT($D$2:$D$1000,10)=$AJ5)), 0.99),2)</f>
        <v>2.64</v>
      </c>
      <c r="AK18" s="4" cm="1">
        <f t="array" ref="AK18">ROUND(_xlfn.PERCENTILE.INC(_xlfn._xlws.FILTER($M$2:$M$1000, ($A$2:$A$1000=$AJ6) * ($C$2:$C$1000=AK$8) *  ($B$2:$B$1000&gt;=$AJ$7) * ($B$2:$B$1000&lt;=$AL$7) * (LEFT($D$2:$D$1000,10)=$AJ5)), 0.99),2)</f>
        <v>1.77</v>
      </c>
      <c r="AL18" s="4" cm="1">
        <f t="array" ref="AL18">ROUND(_xlfn.PERCENTILE.INC(_xlfn._xlws.FILTER($M$2:$M$1000, ($A$2:$A$1000=$AJ6) * ($C$2:$C$1000=AL$8) *  ($B$2:$B$1000&gt;=$AJ$7) * ($B$2:$B$1000&lt;=$AL$7) * (LEFT($D$2:$D$1000,10)=$AJ5)), 0.99),2)</f>
        <v>1.78</v>
      </c>
    </row>
    <row r="19" spans="1:38" x14ac:dyDescent="0.25">
      <c r="A19" t="s">
        <v>12</v>
      </c>
      <c r="B19">
        <v>8</v>
      </c>
      <c r="C19" t="s">
        <v>36</v>
      </c>
      <c r="D19" t="s">
        <v>356</v>
      </c>
      <c r="E19" t="s">
        <v>357</v>
      </c>
      <c r="F19" s="1">
        <v>1.3888888888888888E-5</v>
      </c>
      <c r="G19" t="s">
        <v>16</v>
      </c>
      <c r="H19">
        <v>5</v>
      </c>
      <c r="I19">
        <v>173</v>
      </c>
      <c r="J19">
        <v>178</v>
      </c>
      <c r="L19" t="s">
        <v>17</v>
      </c>
      <c r="M19" s="3">
        <f t="shared" si="0"/>
        <v>1.0210000444203615</v>
      </c>
      <c r="O19" t="s">
        <v>386</v>
      </c>
      <c r="P19" s="4">
        <f>P12-P11</f>
        <v>0.38000000000000012</v>
      </c>
      <c r="Q19" s="4">
        <f t="shared" ref="Q19:R19" si="1">Q12-Q11</f>
        <v>0.37999999999999989</v>
      </c>
      <c r="R19" s="4">
        <f t="shared" si="1"/>
        <v>0.42000000000000015</v>
      </c>
      <c r="T19" t="s">
        <v>386</v>
      </c>
      <c r="U19" s="4">
        <f>U12-U11</f>
        <v>0.28000000000000003</v>
      </c>
      <c r="V19" s="4">
        <f t="shared" ref="V19:W19" si="2">V12-V11</f>
        <v>0.31999999999999984</v>
      </c>
      <c r="W19" s="4">
        <f t="shared" si="2"/>
        <v>0.85000000000000009</v>
      </c>
      <c r="Y19" t="s">
        <v>386</v>
      </c>
      <c r="Z19" s="4">
        <f>Z12-Z11</f>
        <v>0.17000000000000015</v>
      </c>
      <c r="AA19" s="4">
        <f t="shared" ref="AA19:AB19" si="3">AA12-AA11</f>
        <v>0.41000000000000014</v>
      </c>
      <c r="AB19" s="4">
        <f t="shared" si="3"/>
        <v>0.53</v>
      </c>
      <c r="AD19" t="s">
        <v>386</v>
      </c>
      <c r="AE19" s="4">
        <f>AE12-AE11</f>
        <v>0.25999999999999979</v>
      </c>
      <c r="AF19" s="4">
        <f t="shared" ref="AF19:AG19" si="4">AF12-AF11</f>
        <v>0.3899999999999999</v>
      </c>
      <c r="AG19" s="4">
        <f t="shared" si="4"/>
        <v>0.22999999999999998</v>
      </c>
      <c r="AI19" t="s">
        <v>386</v>
      </c>
      <c r="AJ19" s="4">
        <f>AJ12-AJ11</f>
        <v>0.24</v>
      </c>
      <c r="AK19" s="4">
        <f t="shared" ref="AK19:AL19" si="5">AK12-AK11</f>
        <v>0.39999999999999991</v>
      </c>
      <c r="AL19" s="4">
        <f t="shared" si="5"/>
        <v>0.21999999999999997</v>
      </c>
    </row>
    <row r="20" spans="1:38" x14ac:dyDescent="0.25">
      <c r="A20" t="s">
        <v>12</v>
      </c>
      <c r="B20">
        <v>9</v>
      </c>
      <c r="C20" t="s">
        <v>36</v>
      </c>
      <c r="D20" t="s">
        <v>358</v>
      </c>
      <c r="E20" t="s">
        <v>359</v>
      </c>
      <c r="F20" s="1">
        <v>4.398148148148148E-5</v>
      </c>
      <c r="G20" t="s">
        <v>16</v>
      </c>
      <c r="H20">
        <v>5</v>
      </c>
      <c r="I20">
        <v>173</v>
      </c>
      <c r="J20">
        <v>178</v>
      </c>
      <c r="L20" t="s">
        <v>17</v>
      </c>
      <c r="M20" s="3">
        <f t="shared" si="0"/>
        <v>3.0750002944841981</v>
      </c>
      <c r="O20" t="s">
        <v>387</v>
      </c>
      <c r="P20" s="16">
        <f>P17/P19</f>
        <v>5.5526315789473664</v>
      </c>
      <c r="Q20" s="16">
        <f t="shared" ref="Q20:R20" si="6">Q17/Q19</f>
        <v>4.9473684210526327</v>
      </c>
      <c r="R20" s="16">
        <f t="shared" si="6"/>
        <v>7.5952380952380922</v>
      </c>
      <c r="T20" t="s">
        <v>387</v>
      </c>
      <c r="U20" s="6">
        <f>U17/U19</f>
        <v>6.4285714285714279</v>
      </c>
      <c r="V20" s="6">
        <f t="shared" ref="V20:W20" si="7">V17/V19</f>
        <v>6.2500000000000036</v>
      </c>
      <c r="W20" s="6">
        <f t="shared" si="7"/>
        <v>4.0705882352941174</v>
      </c>
      <c r="Y20" t="s">
        <v>387</v>
      </c>
      <c r="Z20" s="6">
        <f>Z17/Z19</f>
        <v>10.529411764705873</v>
      </c>
      <c r="AA20" s="6">
        <f t="shared" ref="AA20:AB20" si="8">AA17/AA19</f>
        <v>4.9512195121951201</v>
      </c>
      <c r="AB20" s="6">
        <f t="shared" si="8"/>
        <v>6.6226415094339615</v>
      </c>
      <c r="AD20" t="s">
        <v>387</v>
      </c>
      <c r="AE20" s="6">
        <f>AE17/AE19</f>
        <v>9.2692307692307772</v>
      </c>
      <c r="AF20" s="6">
        <f t="shared" ref="AF20:AG20" si="9">AF17/AF19</f>
        <v>4.6410256410256423</v>
      </c>
      <c r="AG20" s="6">
        <f t="shared" si="9"/>
        <v>7.3478260869565224</v>
      </c>
      <c r="AI20" t="s">
        <v>387</v>
      </c>
      <c r="AJ20" s="6">
        <f>AJ17/AJ19</f>
        <v>10.291666666666668</v>
      </c>
      <c r="AK20" s="6">
        <f t="shared" ref="AK20:AL20" si="10">AK17/AK19</f>
        <v>4.3750000000000009</v>
      </c>
      <c r="AL20" s="6">
        <f t="shared" si="10"/>
        <v>7.8181818181818192</v>
      </c>
    </row>
    <row r="21" spans="1:38" x14ac:dyDescent="0.25">
      <c r="A21" t="s">
        <v>12</v>
      </c>
      <c r="B21">
        <v>10</v>
      </c>
      <c r="C21" t="s">
        <v>36</v>
      </c>
      <c r="D21" t="s">
        <v>360</v>
      </c>
      <c r="E21" t="s">
        <v>361</v>
      </c>
      <c r="F21" s="1">
        <v>1.8518518518518518E-5</v>
      </c>
      <c r="G21" t="s">
        <v>16</v>
      </c>
      <c r="H21">
        <v>5</v>
      </c>
      <c r="I21">
        <v>173</v>
      </c>
      <c r="J21">
        <v>178</v>
      </c>
      <c r="L21" t="s">
        <v>17</v>
      </c>
      <c r="M21" s="3">
        <f t="shared" si="0"/>
        <v>1.0060000000521541</v>
      </c>
      <c r="O21" t="s">
        <v>636</v>
      </c>
      <c r="P21" s="7" t="str">
        <f>IF(P20&lt;20, "✅ SAFE",
   IF(AND(P20&gt;=20, P20&lt;30),
      IF(P17&lt;$R$28, "🟡 MODERATE", "🔴 SEVERE"),
      IF(AND(P20&gt;=30, P20&lt;=50), "🔴 SEVERE",
         IF(P20&gt;50, "🚨 CRITICAL", "ERROR"))))</f>
        <v>✅ SAFE</v>
      </c>
      <c r="Q21" s="7" t="str">
        <f t="shared" ref="Q21:R21" si="11">IF(Q20&lt;20, "✅ SAFE",
   IF(AND(Q20&gt;=20, Q20&lt;30),
      IF(Q17&lt;$R$28, "🟡 MODERATE", "🔴 SEVERE"),
      IF(AND(Q20&gt;=30, Q20&lt;=50), "🔴 SEVERE",
         IF(Q20&gt;50, "🚨 CRITICAL", "ERROR"))))</f>
        <v>✅ SAFE</v>
      </c>
      <c r="R21" s="7" t="str">
        <f t="shared" si="11"/>
        <v>✅ SAFE</v>
      </c>
      <c r="T21" t="s">
        <v>636</v>
      </c>
      <c r="U21" s="7" t="str">
        <f>IF(U20&lt;20, "✅ SAFE",
   IF(AND(U20&gt;=20, U20&lt;30),
      IF(U17&lt;$W$28, "🟡 MODERATE", "🔴 SEVERE"),
      IF(AND(U20&gt;=30, U20&lt;=50), "🔴 SEVERE",
         IF(U20&gt;50, "🚨 CRITICAL", "ERROR"))))</f>
        <v>✅ SAFE</v>
      </c>
      <c r="V21" s="7" t="str">
        <f t="shared" ref="V21:W21" si="12">IF(V20&lt;20, "✅ SAFE",
   IF(AND(V20&gt;=20, V20&lt;30),
      IF(V17&lt;$W$28, "🟡 MODERATE", "🔴 SEVERE"),
      IF(AND(V20&gt;=30, V20&lt;=50), "🔴 SEVERE",
         IF(V20&gt;50, "🚨 CRITICAL", "ERROR"))))</f>
        <v>✅ SAFE</v>
      </c>
      <c r="W21" s="7" t="str">
        <f t="shared" si="12"/>
        <v>✅ SAFE</v>
      </c>
      <c r="Y21" t="s">
        <v>636</v>
      </c>
      <c r="Z21" s="7" t="str">
        <f>IF(Z20&lt;20, "✅ SAFE",
   IF(AND(Z20&gt;=20, Z20&lt;30),
      IF(Z17&lt;$AB$28, "🟡 MODERATE", "🔴 SEVERE"),
      IF(AND(Z20&gt;=30, Z20&lt;=50), "🔴 SEVERE",
         IF(Z20&gt;50, "🚨 CRITICAL", "ERROR"))))</f>
        <v>✅ SAFE</v>
      </c>
      <c r="AA21" s="7" t="str">
        <f t="shared" ref="AA21:AB21" si="13">IF(AA20&lt;20, "✅ SAFE",
   IF(AND(AA20&gt;=20, AA20&lt;30),
      IF(AA17&lt;$AB$28, "🟡 MODERATE", "🔴 SEVERE"),
      IF(AND(AA20&gt;=30, AA20&lt;=50), "🔴 SEVERE",
         IF(AA20&gt;50, "🚨 CRITICAL", "ERROR"))))</f>
        <v>✅ SAFE</v>
      </c>
      <c r="AB21" s="7" t="str">
        <f t="shared" si="13"/>
        <v>✅ SAFE</v>
      </c>
      <c r="AD21" t="s">
        <v>636</v>
      </c>
      <c r="AE21" s="7" t="str">
        <f>IF(AE20&lt;20, "✅ SAFE",
   IF(AND(AE20&gt;=20, AE20&lt;30),
      IF(AE17&lt;$AG$28, "🟡 MODERATE", "🔴 SEVERE"),
      IF(AND(AE20&gt;=30, AE20&lt;=50), "🔴 SEVERE",
         IF(AE20&gt;50, "🚨 CRITICAL", "ERROR"))))</f>
        <v>✅ SAFE</v>
      </c>
      <c r="AF21" s="7" t="str">
        <f t="shared" ref="AF21:AG21" si="14">IF(AF20&lt;20, "✅ SAFE",
   IF(AND(AF20&gt;=20, AF20&lt;30),
      IF(AF17&lt;$AG$28, "🟡 MODERATE", "🔴 SEVERE"),
      IF(AND(AF20&gt;=30, AF20&lt;=50), "🔴 SEVERE",
         IF(AF20&gt;50, "🚨 CRITICAL", "ERROR"))))</f>
        <v>✅ SAFE</v>
      </c>
      <c r="AG21" s="7" t="str">
        <f t="shared" si="14"/>
        <v>✅ SAFE</v>
      </c>
      <c r="AI21" t="s">
        <v>636</v>
      </c>
      <c r="AJ21" s="7" t="str">
        <f>IF(AJ20&lt;20, "✅ SAFE",
   IF(AND(AJ20&gt;=20, AJ20&lt;30),
      IF(AJ17&lt;$AL$28, "🟡 MODERATE", "🔴 SEVERE"),
      IF(AND(AJ20&gt;=30, AJ20&lt;=50), "🔴 SEVERE",
         IF(AJ20&gt;50, "🚨 CRITICAL", "ERROR"))))</f>
        <v>✅ SAFE</v>
      </c>
      <c r="AK21" s="7" t="str">
        <f t="shared" ref="AK21:AL21" si="15">IF(AK20&lt;20, "✅ SAFE",
   IF(AND(AK20&gt;=20, AK20&lt;30),
      IF(AK17&lt;$AL$28, "🟡 MODERATE", "🔴 SEVERE"),
      IF(AND(AK20&gt;=30, AK20&lt;=50), "🔴 SEVERE",
         IF(AK20&gt;50, "🚨 CRITICAL", "ERROR"))))</f>
        <v>✅ SAFE</v>
      </c>
      <c r="AL21" s="7" t="str">
        <f t="shared" si="15"/>
        <v>✅ SAFE</v>
      </c>
    </row>
    <row r="22" spans="1:38" x14ac:dyDescent="0.25">
      <c r="A22" t="s">
        <v>12</v>
      </c>
      <c r="B22">
        <v>1</v>
      </c>
      <c r="C22" t="s">
        <v>57</v>
      </c>
      <c r="D22" t="s">
        <v>362</v>
      </c>
      <c r="E22" t="s">
        <v>363</v>
      </c>
      <c r="F22" s="1">
        <v>1.6203703703703704E-5</v>
      </c>
      <c r="G22" t="s">
        <v>16</v>
      </c>
      <c r="H22">
        <v>5</v>
      </c>
      <c r="I22">
        <v>108</v>
      </c>
      <c r="J22">
        <v>113</v>
      </c>
      <c r="L22" t="s">
        <v>17</v>
      </c>
      <c r="M22" s="3">
        <f t="shared" si="0"/>
        <v>1.039999513886869</v>
      </c>
      <c r="O22" t="s">
        <v>388</v>
      </c>
      <c r="P22" s="4">
        <f>ROUND(_xlfn.MAXIFS($M:$M, $A:$A, $P6, $C:$C, P$8) - _xlfn.MINIFS($M:$M, $A:$A, $P6, $C:$C, P$8),2)</f>
        <v>1.27</v>
      </c>
      <c r="Q22" s="4">
        <f>ROUND(_xlfn.MAXIFS($M:$M, $A:$A, $P6, $C:$C, Q$8) - _xlfn.MINIFS($M:$M, $A:$A, $P6, $C:$C, Q$8),2)</f>
        <v>0.92</v>
      </c>
      <c r="R22" s="4">
        <f>ROUND(_xlfn.MAXIFS($M:$M, $A:$A, $P6, $C:$C, R$8) - _xlfn.MINIFS($M:$M, $A:$A, $P6, $C:$C, R$8),2)</f>
        <v>2.5</v>
      </c>
      <c r="T22" t="s">
        <v>388</v>
      </c>
      <c r="U22" s="4" cm="1">
        <f t="array" ref="U22">ROUND(MAX(_xlfn._xlws.FILTER($M$2:$M$1000, ($A$2:$A$1000=$U6) * ($C$2:$C$1000=U$8) * (LEFT($D$2:$D$1000,10)=$U5))) - MIN(_xlfn._xlws.FILTER($M$2:$M$1000, ($A$2:$A$1000=$U6) * ($C$2:$C$1000=U$8) * (LEFT($D$2:$D$1000,10)=$U5))),2)</f>
        <v>0.39</v>
      </c>
      <c r="V22" s="4" cm="1">
        <f t="array" ref="V22">MAX(_xlfn._xlws.FILTER($M$2:$M$1000, ($A$2:$A$1000=$U6) * ($C$2:$C$1000=V$8) * (LEFT($D$2:$D$1000,10)=$U5))) - MIN(_xlfn._xlws.FILTER($M$2:$M$1000, ($A$2:$A$1000=$U6) * ($C$2:$C$1000=V$8) * (LEFT($D$2:$D$1000,10)=$U5)))</f>
        <v>0.92200012877583504</v>
      </c>
      <c r="W22" s="4" cm="1">
        <f t="array" ref="W22">MAX(_xlfn._xlws.FILTER($M$2:$M$1000, ($A$2:$A$1000=$U6) * ($C$2:$C$1000=W$8) * (LEFT($D$2:$D$1000,10)=$U5))) - MIN(_xlfn._xlws.FILTER($M$2:$M$1000, ($A$2:$A$1000=$U6) * ($C$2:$C$1000=W$8) * (LEFT($D$2:$D$1000,10)=$U5)))</f>
        <v>2.5029995245859027</v>
      </c>
      <c r="Y22" t="s">
        <v>388</v>
      </c>
      <c r="Z22" s="4" cm="1">
        <f t="array" ref="Z22">ROUND(MAX(_xlfn._xlws.FILTER($M$2:$M$1000, ($A$2:$A$1000=$Z6) * ($C$2:$C$1000=Z$8) *  ($B$2:$B$1000&gt;=$Z$7) * ($B$2:$B$1000&lt;=$AB$7) * (LEFT($D$2:$D$1000,10)=$Z5))) - MIN(_xlfn._xlws.FILTER($M$2:$M$1000, ($A$2:$A$1000=$Z6) * ($C$2:$C$1000=Z$8) *  ($B$2:$B$1000&gt;=$Z$7) * ($B$2:$B$1000&lt;=$AB$7) * (LEFT($D$2:$D$1000,10)=$Z5))),2)</f>
        <v>0.38</v>
      </c>
      <c r="AA22" s="4" cm="1">
        <f t="array" ref="AA22">ROUND(MAX(_xlfn._xlws.FILTER($M$2:$M$1000, ($A$2:$A$1000=$Z6) * ($C$2:$C$1000=AA$8) *  ($B$2:$B$1000&gt;=$Z$7) * ($B$2:$B$1000&lt;=$AB$7) * (LEFT($D$2:$D$1000,10)=$Z5))) - MIN(_xlfn._xlws.FILTER($M$2:$M$1000, ($A$2:$A$1000=$Z6) * ($C$2:$C$1000=AA$8) *  ($B$2:$B$1000&gt;=$Z$7) * ($B$2:$B$1000&lt;=$AB$7) * (LEFT($D$2:$D$1000,10)=$Z5))),2)</f>
        <v>0.83</v>
      </c>
      <c r="AB22" s="4" cm="1">
        <f t="array" ref="AB22">ROUND(MAX(_xlfn._xlws.FILTER($M$2:$M$1000, ($A$2:$A$1000=$Z6) * ($C$2:$C$1000=AB$8) *  ($B$2:$B$1000&gt;=$Z$7) * ($B$2:$B$1000&lt;=$AB$7) * (LEFT($D$2:$D$1000,10)=$Z5))) - MIN(_xlfn._xlws.FILTER($M$2:$M$1000, ($A$2:$A$1000=$Z6) * ($C$2:$C$1000=AB$8) *  ($B$2:$B$1000&gt;=$Z$7) * ($B$2:$B$1000&lt;=$AB$7) * (LEFT($D$2:$D$1000,10)=$Z5))),2)</f>
        <v>2.5</v>
      </c>
      <c r="AD22" t="s">
        <v>388</v>
      </c>
      <c r="AE22" s="4" cm="1">
        <f t="array" ref="AE22">ROUND(MAX(_xlfn._xlws.FILTER($M$2:$M$1000, ($A$2:$A$1000=$AE6) * ($C$2:$C$1000=AE$8) * (LEFT($D$2:$D$1000,10)=$AE5))) - MIN(_xlfn._xlws.FILTER($M$2:$M$1000, ($A$2:$A$1000=$AE6) * ($C$2:$C$1000=AE$8) * (LEFT($D$2:$D$1000,10)=$AE5))),2)</f>
        <v>0.95</v>
      </c>
      <c r="AF22" s="4" cm="1">
        <f t="array" ref="AF22">MAX(_xlfn._xlws.FILTER($M$2:$M$1000, ($A$2:$A$1000=$AE6) * ($C$2:$C$1000=AF$8) * (LEFT($D$2:$D$1000,10)=$AE5))) - MIN(_xlfn._xlws.FILTER($M$2:$M$1000, ($A$2:$A$1000=$AE6) * ($C$2:$C$1000=AF$8) * (LEFT($D$2:$D$1000,10)=$AE5)))</f>
        <v>0.63900025561451912</v>
      </c>
      <c r="AG22" s="4" cm="1">
        <f t="array" ref="AG22">MAX(_xlfn._xlws.FILTER($M$2:$M$1000, ($A$2:$A$1000=$AE6) * ($C$2:$C$1000=AG$8) * (LEFT($D$2:$D$1000,10)=$AE5))) - MIN(_xlfn._xlws.FILTER($M$2:$M$1000, ($A$2:$A$1000=$AE6) * ($C$2:$C$1000=AG$8) * (LEFT($D$2:$D$1000,10)=$AE5)))</f>
        <v>0.55499975569546223</v>
      </c>
      <c r="AI22" t="s">
        <v>388</v>
      </c>
      <c r="AJ22" s="4" cm="1">
        <f t="array" ref="AJ22">ROUND(MAX(_xlfn._xlws.FILTER($M$2:$M$1000, ($A$2:$A$1000=$AJ6) * ($C$2:$C$1000=AJ$8) *  ($B$2:$B$1000&gt;=$AJ$7) * ($B$2:$B$1000&lt;=$AL$7) * (LEFT($D$2:$D$1000,10)=$AJ5))) - MIN(_xlfn._xlws.FILTER($M$2:$M$1000, ($A$2:$A$1000=$AJ6) * ($C$2:$C$1000=AJ$8) *  ($B$2:$B$1000&gt;=$AJ$7) * ($B$2:$B$1000&lt;=$AL$7) * (LEFT($D$2:$D$1000,10)=$AJ5))),2)</f>
        <v>0.95</v>
      </c>
      <c r="AK22" s="4" cm="1">
        <f t="array" ref="AK22">ROUND(MAX(_xlfn._xlws.FILTER($M$2:$M$1000, ($A$2:$A$1000=$AJ6) * ($C$2:$C$1000=AK$8) *  ($B$2:$B$1000&gt;=$AJ$7) * ($B$2:$B$1000&lt;=$AL$7) * (LEFT($D$2:$D$1000,10)=$AJ5))) - MIN(_xlfn._xlws.FILTER($M$2:$M$1000, ($A$2:$A$1000=$AJ6) * ($C$2:$C$1000=AK$8) *  ($B$2:$B$1000&gt;=$AJ$7) * ($B$2:$B$1000&lt;=$AL$7) * (LEFT($D$2:$D$1000,10)=$AJ5))),2)</f>
        <v>0.57999999999999996</v>
      </c>
      <c r="AL22" s="4" cm="1">
        <f t="array" ref="AL22">ROUND(MAX(_xlfn._xlws.FILTER($M$2:$M$1000, ($A$2:$A$1000=$AJ6) * ($C$2:$C$1000=AL$8) *  ($B$2:$B$1000&gt;=$AJ$7) * ($B$2:$B$1000&lt;=$AL$7) * (LEFT($D$2:$D$1000,10)=$AJ5))) - MIN(_xlfn._xlws.FILTER($M$2:$M$1000, ($A$2:$A$1000=$AJ6) * ($C$2:$C$1000=AL$8) *  ($B$2:$B$1000&gt;=$AJ$7) * ($B$2:$B$1000&lt;=$AL$7) * (LEFT($D$2:$D$1000,10)=$AJ5))),2)</f>
        <v>0.55000000000000004</v>
      </c>
    </row>
    <row r="23" spans="1:38" x14ac:dyDescent="0.25">
      <c r="A23" t="s">
        <v>12</v>
      </c>
      <c r="B23">
        <v>2</v>
      </c>
      <c r="C23" t="s">
        <v>57</v>
      </c>
      <c r="D23" t="s">
        <v>364</v>
      </c>
      <c r="E23" t="s">
        <v>365</v>
      </c>
      <c r="F23" s="1">
        <v>1.3888888888888888E-5</v>
      </c>
      <c r="G23" t="s">
        <v>16</v>
      </c>
      <c r="H23">
        <v>5</v>
      </c>
      <c r="I23">
        <v>108</v>
      </c>
      <c r="J23">
        <v>113</v>
      </c>
      <c r="L23" t="s">
        <v>17</v>
      </c>
      <c r="M23" s="3">
        <f t="shared" si="0"/>
        <v>1.0149996494874358</v>
      </c>
      <c r="O23" t="s">
        <v>389</v>
      </c>
      <c r="P23" s="17">
        <f>ROUND(P15/P9,2)</f>
        <v>0.17</v>
      </c>
      <c r="Q23" s="17">
        <f>ROUND(Q15/Q9,2)</f>
        <v>0.17</v>
      </c>
      <c r="R23" s="17">
        <f>ROUND(R15/R9,2)</f>
        <v>0.37</v>
      </c>
      <c r="T23" t="s">
        <v>389</v>
      </c>
      <c r="U23" s="5">
        <f>U15/U9</f>
        <v>9.5541401273885343E-2</v>
      </c>
      <c r="V23" s="5">
        <f t="shared" ref="V23:W23" si="16">V15/V9</f>
        <v>0.18300653594771243</v>
      </c>
      <c r="W23" s="5">
        <f t="shared" si="16"/>
        <v>0.36150234741784038</v>
      </c>
      <c r="Y23" t="s">
        <v>389</v>
      </c>
      <c r="Z23" s="5">
        <f>Z15/Z9</f>
        <v>9.6774193548387094E-2</v>
      </c>
      <c r="AA23" s="5">
        <f>AA15/AA9</f>
        <v>0.17721518987341772</v>
      </c>
      <c r="AB23" s="5">
        <f t="shared" ref="AB23" si="17">AB15/AB9</f>
        <v>0.39423076923076922</v>
      </c>
      <c r="AD23" t="s">
        <v>389</v>
      </c>
      <c r="AE23" s="5">
        <f>AE15/AE9</f>
        <v>0.13846153846153847</v>
      </c>
      <c r="AF23" s="5">
        <f t="shared" ref="AF23:AG23" si="18">AF15/AF9</f>
        <v>0.14473684210526316</v>
      </c>
      <c r="AG23" s="5">
        <f t="shared" si="18"/>
        <v>0.10958904109589042</v>
      </c>
      <c r="AI23" t="s">
        <v>389</v>
      </c>
      <c r="AJ23" s="5">
        <f>AJ15/AJ9</f>
        <v>0.15463917525773196</v>
      </c>
      <c r="AK23" s="5">
        <f t="shared" ref="AK23:AL23" si="19">AK15/AK9</f>
        <v>0.14864864864864866</v>
      </c>
      <c r="AL23" s="5">
        <f t="shared" si="19"/>
        <v>0.10810810810810811</v>
      </c>
    </row>
    <row r="24" spans="1:38" ht="15.75" thickBot="1" x14ac:dyDescent="0.3">
      <c r="A24" t="s">
        <v>12</v>
      </c>
      <c r="B24">
        <v>3</v>
      </c>
      <c r="C24" t="s">
        <v>57</v>
      </c>
      <c r="D24" t="s">
        <v>366</v>
      </c>
      <c r="E24" t="s">
        <v>367</v>
      </c>
      <c r="F24" s="1">
        <v>1.6203703703703704E-5</v>
      </c>
      <c r="G24" t="s">
        <v>16</v>
      </c>
      <c r="H24">
        <v>5</v>
      </c>
      <c r="I24">
        <v>108</v>
      </c>
      <c r="J24">
        <v>113</v>
      </c>
      <c r="L24" t="s">
        <v>17</v>
      </c>
      <c r="M24" s="3">
        <f t="shared" si="0"/>
        <v>1.0420004837214947</v>
      </c>
      <c r="T24" t="s">
        <v>662</v>
      </c>
      <c r="U24" s="7" t="str">
        <f>IF(U20&lt;20, "✅",
   IF(AND(U20&gt;=20, U20&lt;30),
      IF(U17&lt;$W$28, "🟡", "🔴"),
      IF(AND(U20&gt;=30, U20&lt;=50), "🔴",
         IF(U20&gt;50, "🚨", ""))))</f>
        <v>✅</v>
      </c>
      <c r="V24" s="7" t="str">
        <f t="shared" ref="V24:W24" si="20">IF(V20&lt;20, "✅",
   IF(AND(V20&gt;=20, V20&lt;30),
      IF(V17&lt;$W$28, "🟡", "🔴"),
      IF(AND(V20&gt;=30, V20&lt;=50), "🔴",
         IF(V20&gt;50, "🚨", ""))))</f>
        <v>✅</v>
      </c>
      <c r="W24" s="7" t="str">
        <f t="shared" si="20"/>
        <v>✅</v>
      </c>
      <c r="Y24" t="s">
        <v>662</v>
      </c>
      <c r="Z24" s="7" t="str">
        <f>IF(Z20&lt;20, "✅",
   IF(AND(Z20&gt;=20, Z20&lt;30),
      IF(Z17&lt;$AB$28, "🟡", "🔴"),
      IF(AND(Z20&gt;=30, Z20&lt;=50), "🔴",
         IF(Z20&gt;50, "🚨", ""))))</f>
        <v>✅</v>
      </c>
      <c r="AA24" s="7" t="str">
        <f t="shared" ref="AA24:AB24" si="21">IF(AA20&lt;20, "✅",
   IF(AND(AA20&gt;=20, AA20&lt;30),
      IF(AA17&lt;$AB$28, "🟡", "🔴"),
      IF(AND(AA20&gt;=30, AA20&lt;=50), "🔴",
         IF(AA20&gt;50, "🚨", ""))))</f>
        <v>✅</v>
      </c>
      <c r="AB24" s="7" t="str">
        <f t="shared" si="21"/>
        <v>✅</v>
      </c>
      <c r="AD24" t="s">
        <v>662</v>
      </c>
      <c r="AE24" s="7" t="str">
        <f>IF(AE20&lt;20, "✅",
   IF(AND(AE20&gt;=20, AE20&lt;30),
      IF(AE17&lt;$AG$28, "🟡", "🔴"),
      IF(AND(AE20&gt;=30, AE20&lt;=50), "🔴",
         IF(AE20&gt;50, "🚨", ""))))</f>
        <v>✅</v>
      </c>
      <c r="AF24" s="7" t="str">
        <f t="shared" ref="AF24:AG24" si="22">IF(AF20&lt;20, "✅",
   IF(AND(AF20&gt;=20, AF20&lt;30),
      IF(AF17&lt;$AG$28, "🟡", "🔴"),
      IF(AND(AF20&gt;=30, AF20&lt;=50), "🔴",
         IF(AF20&gt;50, "🚨", ""))))</f>
        <v>✅</v>
      </c>
      <c r="AG24" s="7" t="str">
        <f t="shared" si="22"/>
        <v>✅</v>
      </c>
      <c r="AI24" t="s">
        <v>662</v>
      </c>
      <c r="AJ24" s="7" t="str">
        <f>IF(AJ20&lt;20, "✅",
   IF(AND(AJ20&gt;=20, AJ20&lt;30),
      IF(AJ17&lt;$AL$28, "🟡", "🔴"),
      IF(AND(AJ20&gt;=30, AJ20&lt;=50), "🔴",
         IF(AJ20&gt;50, "🚨", ""))))</f>
        <v>✅</v>
      </c>
      <c r="AK24" s="7" t="str">
        <f t="shared" ref="AK24:AL24" si="23">IF(AK20&lt;20, "✅",
   IF(AND(AK20&gt;=20, AK20&lt;30),
      IF(AK17&lt;$AL$28, "🟡", "🔴"),
      IF(AND(AK20&gt;=30, AK20&lt;=50), "🔴",
         IF(AK20&gt;50, "🚨", ""))))</f>
        <v>✅</v>
      </c>
      <c r="AL24" s="7" t="str">
        <f t="shared" si="23"/>
        <v>✅</v>
      </c>
    </row>
    <row r="25" spans="1:38" ht="15.75" customHeight="1" thickBot="1" x14ac:dyDescent="0.3">
      <c r="A25" t="s">
        <v>12</v>
      </c>
      <c r="B25">
        <v>4</v>
      </c>
      <c r="C25" t="s">
        <v>57</v>
      </c>
      <c r="D25" t="s">
        <v>368</v>
      </c>
      <c r="E25" t="s">
        <v>369</v>
      </c>
      <c r="F25" s="1">
        <v>1.3888888888888888E-5</v>
      </c>
      <c r="G25" t="s">
        <v>16</v>
      </c>
      <c r="H25">
        <v>5</v>
      </c>
      <c r="I25">
        <v>108</v>
      </c>
      <c r="J25">
        <v>113</v>
      </c>
      <c r="L25" t="s">
        <v>17</v>
      </c>
      <c r="M25" s="3">
        <f t="shared" si="0"/>
        <v>1.0159998200833797</v>
      </c>
      <c r="O25" s="36" t="s">
        <v>651</v>
      </c>
      <c r="P25" s="37"/>
      <c r="Q25" s="37"/>
      <c r="R25" s="38"/>
      <c r="T25" s="36" t="s">
        <v>652</v>
      </c>
      <c r="U25" s="37"/>
      <c r="V25" s="37"/>
      <c r="W25" s="38"/>
      <c r="Y25" s="36" t="s">
        <v>653</v>
      </c>
      <c r="Z25" s="37"/>
      <c r="AA25" s="37"/>
      <c r="AB25" s="38"/>
      <c r="AD25" s="36" t="s">
        <v>654</v>
      </c>
      <c r="AE25" s="37"/>
      <c r="AF25" s="37"/>
      <c r="AG25" s="38"/>
      <c r="AI25" s="36" t="s">
        <v>655</v>
      </c>
      <c r="AJ25" s="37"/>
      <c r="AK25" s="37"/>
      <c r="AL25" s="38"/>
    </row>
    <row r="26" spans="1:38" x14ac:dyDescent="0.25">
      <c r="A26" t="s">
        <v>12</v>
      </c>
      <c r="B26">
        <v>5</v>
      </c>
      <c r="C26" t="s">
        <v>57</v>
      </c>
      <c r="D26" t="s">
        <v>370</v>
      </c>
      <c r="E26" t="s">
        <v>371</v>
      </c>
      <c r="F26" s="1">
        <v>1.2731481481481482E-5</v>
      </c>
      <c r="G26" t="s">
        <v>16</v>
      </c>
      <c r="H26">
        <v>5</v>
      </c>
      <c r="I26">
        <v>108</v>
      </c>
      <c r="J26">
        <v>113</v>
      </c>
      <c r="L26" t="s">
        <v>17</v>
      </c>
      <c r="M26" s="3">
        <f t="shared" si="0"/>
        <v>1.0129999369382858</v>
      </c>
      <c r="O26" s="23" t="s">
        <v>648</v>
      </c>
      <c r="P26" s="23"/>
      <c r="Q26" s="23"/>
      <c r="R26" s="4">
        <f>MIN(P9:R9)</f>
        <v>1.53</v>
      </c>
      <c r="T26" s="23" t="s">
        <v>648</v>
      </c>
      <c r="U26" s="23"/>
      <c r="V26" s="23"/>
      <c r="W26" s="4">
        <f>MIN(U9:W9)</f>
        <v>1.53</v>
      </c>
      <c r="Y26" s="23" t="s">
        <v>648</v>
      </c>
      <c r="Z26" s="23"/>
      <c r="AA26" s="23"/>
      <c r="AB26" s="4">
        <f>MIN(Z9:AB9)</f>
        <v>1.55</v>
      </c>
      <c r="AD26" s="23" t="s">
        <v>648</v>
      </c>
      <c r="AE26" s="23"/>
      <c r="AF26" s="23"/>
      <c r="AG26" s="4">
        <f>MIN(AE9:AG9)</f>
        <v>1.46</v>
      </c>
      <c r="AI26" s="23" t="s">
        <v>648</v>
      </c>
      <c r="AJ26" s="23"/>
      <c r="AK26" s="23"/>
      <c r="AL26" s="4">
        <f>MIN(AJ9:AL9)</f>
        <v>1.48</v>
      </c>
    </row>
    <row r="27" spans="1:38" x14ac:dyDescent="0.25">
      <c r="A27" t="s">
        <v>12</v>
      </c>
      <c r="B27">
        <v>6</v>
      </c>
      <c r="C27" t="s">
        <v>57</v>
      </c>
      <c r="D27" t="s">
        <v>372</v>
      </c>
      <c r="E27" t="s">
        <v>373</v>
      </c>
      <c r="F27" s="1">
        <v>1.1574074074074073E-5</v>
      </c>
      <c r="G27" t="s">
        <v>16</v>
      </c>
      <c r="H27">
        <v>5</v>
      </c>
      <c r="I27">
        <v>108</v>
      </c>
      <c r="J27">
        <v>113</v>
      </c>
      <c r="L27" t="s">
        <v>17</v>
      </c>
      <c r="M27" s="3">
        <f t="shared" si="0"/>
        <v>0.98200030624866486</v>
      </c>
      <c r="O27" s="23" t="s">
        <v>649</v>
      </c>
      <c r="P27" s="23"/>
      <c r="Q27" s="23"/>
      <c r="R27" s="4">
        <f>MAX(P9:R9)</f>
        <v>1.8</v>
      </c>
      <c r="T27" s="23" t="s">
        <v>649</v>
      </c>
      <c r="U27" s="23"/>
      <c r="V27" s="23"/>
      <c r="W27" s="4">
        <f>MAX(U9:W9)</f>
        <v>2.13</v>
      </c>
      <c r="Y27" s="23" t="s">
        <v>649</v>
      </c>
      <c r="Z27" s="23"/>
      <c r="AA27" s="23"/>
      <c r="AB27" s="4">
        <f>MAX(Z9:AB9)</f>
        <v>2.08</v>
      </c>
      <c r="AD27" s="23" t="s">
        <v>649</v>
      </c>
      <c r="AE27" s="23"/>
      <c r="AF27" s="23"/>
      <c r="AG27" s="4">
        <f>MAX(AE9:AG9)</f>
        <v>1.95</v>
      </c>
      <c r="AI27" s="23" t="s">
        <v>649</v>
      </c>
      <c r="AJ27" s="23"/>
      <c r="AK27" s="23"/>
      <c r="AL27" s="4">
        <f>MAX(AJ9:AL9)</f>
        <v>1.94</v>
      </c>
    </row>
    <row r="28" spans="1:38" x14ac:dyDescent="0.25">
      <c r="A28" t="s">
        <v>12</v>
      </c>
      <c r="B28">
        <v>7</v>
      </c>
      <c r="C28" t="s">
        <v>57</v>
      </c>
      <c r="D28" t="s">
        <v>374</v>
      </c>
      <c r="E28" t="s">
        <v>375</v>
      </c>
      <c r="F28" s="1">
        <v>1.5046296296296297E-5</v>
      </c>
      <c r="G28" t="s">
        <v>16</v>
      </c>
      <c r="H28">
        <v>5</v>
      </c>
      <c r="I28">
        <v>108</v>
      </c>
      <c r="J28">
        <v>113</v>
      </c>
      <c r="L28" t="s">
        <v>17</v>
      </c>
      <c r="M28" s="3">
        <f t="shared" si="0"/>
        <v>1.0290001519024372</v>
      </c>
      <c r="O28" s="23" t="s">
        <v>650</v>
      </c>
      <c r="P28" s="23"/>
      <c r="Q28" s="23"/>
      <c r="R28">
        <f>MAX(3*R26, 1)</f>
        <v>4.59</v>
      </c>
      <c r="T28" s="23" t="s">
        <v>650</v>
      </c>
      <c r="U28" s="23"/>
      <c r="V28" s="23"/>
      <c r="W28" s="4">
        <f>MAX(3*W26, 1)</f>
        <v>4.59</v>
      </c>
      <c r="Y28" s="23" t="s">
        <v>666</v>
      </c>
      <c r="Z28" s="23"/>
      <c r="AA28" s="23"/>
      <c r="AB28" s="4">
        <f>MAX(3*AB26, 1)</f>
        <v>4.6500000000000004</v>
      </c>
      <c r="AD28" s="23" t="s">
        <v>650</v>
      </c>
      <c r="AE28" s="23"/>
      <c r="AF28" s="23"/>
      <c r="AG28" s="4">
        <f>MAX(3*AG26, 1)</f>
        <v>4.38</v>
      </c>
      <c r="AI28" s="23" t="s">
        <v>666</v>
      </c>
      <c r="AJ28" s="23"/>
      <c r="AK28" s="23"/>
      <c r="AL28" s="4">
        <f>MAX(3*AL26, 1)</f>
        <v>4.4399999999999995</v>
      </c>
    </row>
    <row r="29" spans="1:38" x14ac:dyDescent="0.25">
      <c r="A29" t="s">
        <v>12</v>
      </c>
      <c r="B29">
        <v>8</v>
      </c>
      <c r="C29" t="s">
        <v>57</v>
      </c>
      <c r="D29" t="s">
        <v>376</v>
      </c>
      <c r="E29" t="s">
        <v>377</v>
      </c>
      <c r="F29" s="1">
        <v>1.6203703703703704E-5</v>
      </c>
      <c r="G29" t="s">
        <v>16</v>
      </c>
      <c r="H29">
        <v>5</v>
      </c>
      <c r="I29">
        <v>108</v>
      </c>
      <c r="J29">
        <v>113</v>
      </c>
      <c r="L29" t="s">
        <v>17</v>
      </c>
      <c r="M29" s="3">
        <f t="shared" si="0"/>
        <v>1.0389999719336629</v>
      </c>
    </row>
    <row r="30" spans="1:38" x14ac:dyDescent="0.25">
      <c r="A30" t="s">
        <v>12</v>
      </c>
      <c r="B30">
        <v>9</v>
      </c>
      <c r="C30" t="s">
        <v>57</v>
      </c>
      <c r="D30" t="s">
        <v>378</v>
      </c>
      <c r="E30" t="s">
        <v>379</v>
      </c>
      <c r="F30" s="1">
        <v>1.3888888888888888E-5</v>
      </c>
      <c r="G30" t="s">
        <v>16</v>
      </c>
      <c r="H30">
        <v>5</v>
      </c>
      <c r="I30">
        <v>108</v>
      </c>
      <c r="J30">
        <v>113</v>
      </c>
      <c r="L30" t="s">
        <v>17</v>
      </c>
      <c r="M30" s="3">
        <f t="shared" si="0"/>
        <v>1.0179995326325297</v>
      </c>
      <c r="O30" s="23" t="s">
        <v>656</v>
      </c>
      <c r="P30" s="23"/>
      <c r="Q30" s="23"/>
      <c r="R30" s="23"/>
      <c r="T30" s="23" t="s">
        <v>667</v>
      </c>
      <c r="U30" s="23"/>
      <c r="V30" s="23"/>
      <c r="Y30" s="24" t="s">
        <v>672</v>
      </c>
      <c r="Z30" s="24"/>
      <c r="AA30" s="24"/>
      <c r="AD30" s="23" t="s">
        <v>704</v>
      </c>
      <c r="AE30" s="23"/>
      <c r="AF30" s="23"/>
      <c r="AG30" s="23"/>
      <c r="AH30" s="23"/>
    </row>
    <row r="31" spans="1:38" x14ac:dyDescent="0.25">
      <c r="A31" t="s">
        <v>12</v>
      </c>
      <c r="B31">
        <v>10</v>
      </c>
      <c r="C31" t="s">
        <v>57</v>
      </c>
      <c r="D31" t="s">
        <v>380</v>
      </c>
      <c r="E31" t="s">
        <v>381</v>
      </c>
      <c r="F31" s="1">
        <v>1.9675925925925925E-5</v>
      </c>
      <c r="G31" t="s">
        <v>16</v>
      </c>
      <c r="H31">
        <v>5</v>
      </c>
      <c r="I31">
        <v>108</v>
      </c>
      <c r="J31">
        <v>113</v>
      </c>
      <c r="L31" t="s">
        <v>17</v>
      </c>
      <c r="M31" s="3">
        <f t="shared" si="0"/>
        <v>1.0700002312660217</v>
      </c>
      <c r="O31" t="s">
        <v>645</v>
      </c>
      <c r="P31" t="str">
        <f>_xlfn.LET(
    _xlpm.sym_mean, Z9,
    _xlpm.dsl_mean, AA9,
    _xlpm.norm_mean, AB9,
    _xlpm.sym_risk, "🟡",
    _xlpm.dsl_risk, "🔴",
    _xlpm.norm_risk, "🔴",
    _xlpm.min_val, MIN(_xlpm.sym_mean, _xlpm.dsl_mean, _xlpm.norm_mean),
    _xlpm.tie_count, (_xlpm.sym_mean = _xlpm.min_val) + (_xlpm.dsl_mean = _xlpm.min_val) + (_xlpm.norm_mean = _xlpm.min_val),
    _xlpm.winner_format, IF(_xlpm.sym_mean = _xlpm.min_val, "Symbolic",
                     IF(_xlpm.dsl_mean = _xlpm.min_val, "DSL/JSON",
                        IF(_xlpm.norm_mean = _xlpm.min_val, "Normal", ""))),
    _xlpm.winner_risk, IF(_xlpm.sym_mean = _xlpm.min_val, _xlpm.sym_risk,
                   IF(_xlpm.dsl_mean = _xlpm.min_val, _xlpm.dsl_risk,
                      IF(_xlpm.norm_mean = _xlpm.min_val, _xlpm.norm_risk, ""))),
    IF(_xlpm.tie_count &gt; 1,
        "🤝 Tie",
        "🏆 " &amp; _xlpm.winner_format &amp; IF(_xlpm.winner_risk = "🟡", "⚠️", "")
    )
)</f>
        <v>🏆 Symbolic⚠️</v>
      </c>
      <c r="U31" s="20">
        <v>46084</v>
      </c>
      <c r="V31" s="20">
        <v>46086</v>
      </c>
      <c r="W31" t="s">
        <v>673</v>
      </c>
      <c r="Y31" s="21" t="s">
        <v>668</v>
      </c>
      <c r="Z31" s="21" t="s">
        <v>669</v>
      </c>
      <c r="AA31" s="21" t="s">
        <v>670</v>
      </c>
      <c r="AD31" t="s">
        <v>681</v>
      </c>
      <c r="AE31" s="7" t="s">
        <v>668</v>
      </c>
      <c r="AF31" s="7" t="s">
        <v>685</v>
      </c>
      <c r="AG31" s="7" t="s">
        <v>670</v>
      </c>
      <c r="AH31" s="7" t="s">
        <v>644</v>
      </c>
      <c r="AI31" s="7"/>
      <c r="AJ31" s="7"/>
      <c r="AK31" s="7"/>
    </row>
    <row r="32" spans="1:38" x14ac:dyDescent="0.25">
      <c r="A32" t="s">
        <v>78</v>
      </c>
      <c r="B32">
        <v>1</v>
      </c>
      <c r="C32" t="s">
        <v>13</v>
      </c>
      <c r="D32" t="s">
        <v>391</v>
      </c>
      <c r="E32" t="s">
        <v>392</v>
      </c>
      <c r="F32" s="1">
        <v>2.5462962962962965E-5</v>
      </c>
      <c r="G32" t="s">
        <v>16</v>
      </c>
      <c r="H32">
        <v>4</v>
      </c>
      <c r="I32">
        <v>74</v>
      </c>
      <c r="J32">
        <v>78</v>
      </c>
      <c r="L32" t="s">
        <v>17</v>
      </c>
      <c r="M32" s="3">
        <f t="shared" si="0"/>
        <v>2.2219999926164746</v>
      </c>
      <c r="O32" t="s">
        <v>646</v>
      </c>
      <c r="P32" t="str">
        <f>_xlfn.LET(
    _xlpm.sym_mean, AJ9,
    _xlpm.dsl_mean, AK9,
    _xlpm.norm_mean, AL9,
    _xlpm.sym_risk, "🟡",
    _xlpm.dsl_risk, "🔴",
    _xlpm.norm_risk, "🔴",
    _xlpm.min_val, MIN(_xlpm.sym_mean, _xlpm.dsl_mean, _xlpm.norm_mean),
    _xlpm.tie_count, (_xlpm.sym_mean = _xlpm.min_val) + (_xlpm.dsl_mean = _xlpm.min_val) + (_xlpm.norm_mean = _xlpm.min_val),
    _xlpm.winner_format, IF(_xlpm.sym_mean = _xlpm.min_val, "Symbolic",
                     IF(_xlpm.dsl_mean = _xlpm.min_val, "DSL/JSON",
                        IF(_xlpm.norm_mean = _xlpm.min_val, "Normal", ""))),
    _xlpm.winner_risk, IF(_xlpm.sym_mean = _xlpm.min_val, _xlpm.sym_risk,
                   IF(_xlpm.dsl_mean = _xlpm.min_val, _xlpm.dsl_risk,
                      IF(_xlpm.norm_mean = _xlpm.min_val, _xlpm.norm_risk, ""))),
    IF(_xlpm.tie_count &gt; 1,
        "🤝 Tie",
        "🏆 " &amp; _xlpm.winner_format &amp; IF(_xlpm.winner_risk = "🟡", "⚠️", "")
    )
)</f>
        <v>🤝 Tie</v>
      </c>
      <c r="T32" t="s">
        <v>382</v>
      </c>
      <c r="U32" t="str">
        <f>_xlfn.LET(
   _xlpm.symbolic, Z9,
   _xlpm.dsl_json, AA9,
   _xlpm.normal, AB9,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Symbolic (1.55s)</v>
      </c>
      <c r="V32" t="str">
        <f>_xlfn.LET(
   _xlpm.symbolic, AJ9,
   _xlpm.dsl_json, AK9,
   _xlpm.normal, AL9,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🤝 Tie (1.48s)</v>
      </c>
      <c r="W32" t="str">
        <f>_xlfn.LET(
   _xlpm.symbolic_eligible, $Y$32,
   _xlpm.dsl_eligible, $Z$32,
   _xlpm.normal_eligible, $AA$32,
   _xlpm.symbolic_warning, $Y$36,
   _xlpm.dsl_warning, $Z$36,
   _xlpm.normal_warning, $AA$36,
   _xlpm.symbolic_w1, $P$34,
   _xlpm.symbolic_w2, $P$34,
   _xlpm.symbolic_mean, ($P$34*Z9 + $P$34*AJ9)/($P$34*2),
   _xlpm.dsl_w1, $P$34,
   _xlpm.dsl_w2, $P$34,
   _xlpm.dsl_mean, ($P$34*AA9 + $P$34*AK9)/($P$34*2),
   _xlpm.normal_w1, $P$34,
   _xlpm.normal_w2, $P$34,
   _xlpm.normal_mean, ($P$34*AB9 + $P$34*AL9)/($P$34*2),
   _xlpm.eligible_means, IF(_xlpm.symbolic_eligible, _xlpm.symbolic_mean, 999) &amp; "," &amp;
                    IF(_xlpm.dsl_eligible, _xlpm.dsl_mean, 999) &amp; "," &amp;
                    IF(_xlpm.normal_eligible, _xlpm.normal_mean, 999),
   _xlpm.fastest, MIN(IF(_xlpm.symbolic_eligible, _xlpm.symbolic_mean, 999),
                IF(_xlpm.dsl_eligible, _xlpm.dsl_mean, 999),
                IF(_xlpm.normal_eligible, _xlpm.normal_mean, 999)),
   _xlpm.tie_count, (IF(_xlpm.symbolic_eligible, IF(_xlpm.symbolic_mean=_xlpm.fastest,1,0),0)) +
              (IF(_xlpm.dsl_eligible, IF(_xlpm.dsl_mean=_xlpm.fastest,1,0),0)) +
              (IF(_xlpm.normal_eligible, IF(_xlpm.normal_mean=_xlpm.fastest,1,0),0)),
   _xlpm.value_text, IF(AND(_xlpm.symbolic_eligible, _xlpm.symbolic_mean=_xlpm.fastest), TEXT(_xlpm.symbolic_mean, "0.00"),
                 IF(AND(_xlpm.dsl_eligible, _xlpm.dsl_mean=_xlpm.fastest), TEXT(_xlpm.dsl_mean, "0.00"),
                 IF(AND(_xlpm.normal_eligible, _xlpm.normal_mean=_xlpm.fastest), TEXT(_xlpm.normal_mean, "0.00"), ""))),
   _xlpm.winner_text, IF(_xlpm.tie_count=0, "⚠️ No Eligible Formats",
                 IF(_xlpm.tie_count&gt;1, "🤝 Tie (" &amp; TEXT(_xlpm.fastest, "0.00") &amp; "s)",
                    IF(AND(_xlpm.symbolic_eligible, _xlpm.symbolic_mean=_xlpm.fastest),
                       "🏆 Symbolic" &amp; _xlpm.symbolic_warning &amp; " (" &amp; _xlpm.value_text &amp; "s)",
                       IF(AND(_xlpm.dsl_eligible, _xlpm.dsl_mean=_xlpm.fastest),
                          "🏆 DSL/JSON" &amp; _xlpm.dsl_warning &amp; " (" &amp; _xlpm.value_text &amp; "s)",
                          IF(AND(_xlpm.normal_eligible, _xlpm.normal_mean=_xlpm.fastest),
                             "🏆 Normal" &amp; _xlpm.normal_warning &amp; " (" &amp; _xlpm.value_text &amp; "s)",
                             "Error"))))),
   _xlpm.winner_text
)</f>
        <v>🏆 DSL/JSON (1.53s)</v>
      </c>
      <c r="Y32" s="22" t="b">
        <f>IF(AND(Z21&lt;&gt;"🔴 SEVERE",Z21&lt;&gt;"🚨 CRITICAL",AJ21&lt;&gt;"🔴 SEVERE",AJ21&lt;&gt;"🚨 CRITICAL"), TRUE, FALSE)</f>
        <v>1</v>
      </c>
      <c r="Z32" s="22" t="b">
        <f t="shared" ref="Z32" si="24">IF(AND(AA21&lt;&gt;"🔴 SEVERE",AA21&lt;&gt;"🚨 CRITICAL",AK21&lt;&gt;"🔴 SEVERE",AK21&lt;&gt;"🚨 CRITICAL"), TRUE, FALSE)</f>
        <v>1</v>
      </c>
      <c r="AA32" s="22" t="b">
        <f>IF(AND(AB21&lt;&gt;"🔴 SEVERE",AB21&lt;&gt;"🚨 CRITICAL",AL21&lt;&gt;"🔴 SEVERE",AL21&lt;&gt;"🚨 CRITICAL"), TRUE, FALSE)</f>
        <v>1</v>
      </c>
      <c r="AB32" s="7"/>
      <c r="AD32" t="s">
        <v>682</v>
      </c>
      <c r="AE32" s="4">
        <f>Z9</f>
        <v>1.55</v>
      </c>
      <c r="AF32" s="4">
        <f>AA9</f>
        <v>1.58</v>
      </c>
      <c r="AG32" s="4">
        <f>AB9</f>
        <v>2.08</v>
      </c>
      <c r="AH32" t="str">
        <f>AJ41</f>
        <v>Symbolic</v>
      </c>
      <c r="AI32" s="7"/>
      <c r="AJ32" s="7"/>
      <c r="AK32" s="7"/>
    </row>
    <row r="33" spans="1:36" x14ac:dyDescent="0.25">
      <c r="A33" t="s">
        <v>78</v>
      </c>
      <c r="B33">
        <v>2</v>
      </c>
      <c r="C33" t="s">
        <v>13</v>
      </c>
      <c r="D33" t="s">
        <v>393</v>
      </c>
      <c r="E33" t="s">
        <v>394</v>
      </c>
      <c r="F33" s="1">
        <v>1.7361111111111111E-5</v>
      </c>
      <c r="G33" t="s">
        <v>16</v>
      </c>
      <c r="H33">
        <v>4</v>
      </c>
      <c r="I33">
        <v>74</v>
      </c>
      <c r="J33">
        <v>78</v>
      </c>
      <c r="L33" t="s">
        <v>17</v>
      </c>
      <c r="M33" s="3">
        <f t="shared" si="0"/>
        <v>1.4680002350360155</v>
      </c>
      <c r="O33" t="s">
        <v>644</v>
      </c>
      <c r="P33" t="str">
        <f>_xlfn.LET(
    _xlpm.sym_mean, P9,
    _xlpm.dsl_mean, Q9,
    _xlpm.norm_mean, R9,
    _xlpm.sym_risk, "🟡",
    _xlpm.dsl_risk, "🔴",
    _xlpm.norm_risk, "🔴",
    _xlpm.min_val, MIN(_xlpm.sym_mean, _xlpm.dsl_mean, _xlpm.norm_mean),
    _xlpm.tie_count, (_xlpm.sym_mean = _xlpm.min_val) + (_xlpm.dsl_mean = _xlpm.min_val) + (_xlpm.norm_mean = _xlpm.min_val),
    _xlpm.winner_format, IF(_xlpm.sym_mean = _xlpm.min_val, "Symbolic",
                     IF(_xlpm.dsl_mean = _xlpm.min_val, "DSL/JSON",
                        IF(_xlpm.norm_mean = _xlpm.min_val, "Normal", ""))),
    _xlpm.winner_risk, IF(_xlpm.sym_mean = _xlpm.min_val, _xlpm.sym_risk,
                   IF(_xlpm.dsl_mean = _xlpm.min_val, _xlpm.dsl_risk,
                      IF(_xlpm.norm_mean = _xlpm.min_val, _xlpm.norm_risk, ""))),
    IF(_xlpm.tie_count &gt; 1,
        "🤝 Tie",
        "🏆 " &amp; _xlpm.winner_format &amp; IF(_xlpm.winner_risk = "🟡", "⚠️", "")
    )
)</f>
        <v>🏆 DSL/JSON</v>
      </c>
      <c r="T33" t="s">
        <v>383</v>
      </c>
      <c r="U33" t="str">
        <f>_xlfn.LET(
   _xlpm.symbolic, Z10,
   _xlpm.dsl_json, AA10,
   _xlpm.normal, AB10,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DSL/JSON (1.43s)</v>
      </c>
      <c r="V33" t="str">
        <f>_xlfn.LET(
   _xlpm.symbolic, AJ10,
   _xlpm.dsl_json, AK10,
   _xlpm.normal, AL10,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Normal (1.50s)</v>
      </c>
      <c r="W33" t="str">
        <f>_xlfn.LET(
   _xlpm.symbolic_eligible, $Y$32,
   _xlpm.dsl_eligible, $Z$32,
   _xlpm.normal_eligible, $AA$32,
   _xlpm.symbolic_warning, $Y$36,
   _xlpm.dsl_warning, $Z$36,
   _xlpm.normal_warning, $AA$36,
   _xlpm.symbolic_w1, $P$34,
   _xlpm.symbolic_w2, $P$34,
   _xlpm.symbolic_mean, ($P$34*Z10 + $P$34*AJ10)/($P$34*2),
   _xlpm.dsl_w1, $P$34,
   _xlpm.dsl_w2, $P$34,
   _xlpm.dsl_mean, ($P$34*AA10 + $P$34*AK10)/($P$34*2),
   _xlpm.normal_w1, $P$34,
   _xlpm.normal_w2, $P$34,
   _xlpm.normal_mean, ($P$34*AB10 + $P$34*AL10)/($P$34*2),
   _xlpm.eligible_means, IF(_xlpm.symbolic_eligible, _xlpm.symbolic_mean, 999) &amp; "," &amp;
                    IF(_xlpm.dsl_eligible, _xlpm.dsl_mean, 999) &amp; "," &amp;
                    IF(_xlpm.normal_eligible, _xlpm.normal_mean, 999),
   _xlpm.fastest, MIN(IF(_xlpm.symbolic_eligible, _xlpm.symbolic_mean, 999),
                IF(_xlpm.dsl_eligible, _xlpm.dsl_mean, 999),
                IF(_xlpm.normal_eligible, _xlpm.normal_mean, 999)),
   _xlpm.tie_count, (IF(_xlpm.symbolic_eligible, IF(_xlpm.symbolic_mean=_xlpm.fastest,1,0),0)) +
              (IF(_xlpm.dsl_eligible, IF(_xlpm.dsl_mean=_xlpm.fastest,1,0),0)) +
              (IF(_xlpm.normal_eligible, IF(_xlpm.normal_mean=_xlpm.fastest,1,0),0)),
   _xlpm.value_text, IF(AND(_xlpm.symbolic_eligible, _xlpm.symbolic_mean=_xlpm.fastest), TEXT(_xlpm.symbolic_mean, "0.00"),
                 IF(AND(_xlpm.dsl_eligible, _xlpm.dsl_mean=_xlpm.fastest), TEXT(_xlpm.dsl_mean, "0.00"),
                 IF(AND(_xlpm.normal_eligible, _xlpm.normal_mean=_xlpm.fastest), TEXT(_xlpm.normal_mean, "0.00"), ""))),
   _xlpm.winner_text, IF(_xlpm.tie_count=0, "⚠️ No Eligible Formats",
                 IF(_xlpm.tie_count&gt;1, "🤝 Tie (" &amp; TEXT(_xlpm.fastest, "0.00") &amp; "s)",
                    IF(AND(_xlpm.symbolic_eligible, _xlpm.symbolic_mean=_xlpm.fastest),
                       "🏆 Symbolic" &amp; _xlpm.symbolic_warning &amp; " (" &amp; _xlpm.value_text &amp; "s)",
                       IF(AND(_xlpm.dsl_eligible, _xlpm.dsl_mean=_xlpm.fastest),
                          "🏆 DSL/JSON" &amp; _xlpm.dsl_warning &amp; " (" &amp; _xlpm.value_text &amp; "s)",
                          IF(AND(_xlpm.normal_eligible, _xlpm.normal_mean=_xlpm.fastest),
                             "🏆 Normal" &amp; _xlpm.normal_warning &amp; " (" &amp; _xlpm.value_text &amp; "s)",
                             "Error"))))),
   _xlpm.winner_text
)</f>
        <v>🏆 DSL/JSON (1.47s)</v>
      </c>
      <c r="Y33" s="18"/>
      <c r="Z33" s="7"/>
      <c r="AB33" s="7"/>
      <c r="AD33" t="s">
        <v>683</v>
      </c>
      <c r="AE33" s="4">
        <f>AJ9</f>
        <v>1.94</v>
      </c>
      <c r="AF33" s="4">
        <f>AK9</f>
        <v>1.48</v>
      </c>
      <c r="AG33" s="4">
        <f>AL9</f>
        <v>1.48</v>
      </c>
      <c r="AH33" t="str">
        <f>AJ42</f>
        <v>🤝 Tie</v>
      </c>
    </row>
    <row r="34" spans="1:36" ht="16.5" x14ac:dyDescent="0.3">
      <c r="A34" t="s">
        <v>78</v>
      </c>
      <c r="B34">
        <v>3</v>
      </c>
      <c r="C34" t="s">
        <v>13</v>
      </c>
      <c r="D34" t="s">
        <v>395</v>
      </c>
      <c r="E34" t="s">
        <v>396</v>
      </c>
      <c r="F34" s="1">
        <v>1.3888888888888888E-5</v>
      </c>
      <c r="G34" t="s">
        <v>16</v>
      </c>
      <c r="H34">
        <v>4</v>
      </c>
      <c r="I34">
        <v>74</v>
      </c>
      <c r="J34">
        <v>78</v>
      </c>
      <c r="L34" t="s">
        <v>17</v>
      </c>
      <c r="M34" s="3">
        <f t="shared" si="0"/>
        <v>1.1980000650510192</v>
      </c>
      <c r="O34" t="s">
        <v>657</v>
      </c>
      <c r="P34">
        <v>8</v>
      </c>
      <c r="T34" t="s">
        <v>633</v>
      </c>
      <c r="U34" t="str">
        <f>_xlfn.LET(
   _xlpm.symbolic, Z13,
   _xlpm.dsl_json, AA13,
   _xlpm.normal, AB13,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Normal (1.20s)</v>
      </c>
      <c r="V34" t="str">
        <f>_xlfn.LET(
   _xlpm.symbolic, AJ13,
   _xlpm.dsl_json, AK13,
   _xlpm.normal, AL13,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DSL/JSON (1.20s)</v>
      </c>
      <c r="W34" t="str">
        <f>_xlfn.LET(
   _xlpm.symbolic_eligible, $Y$32,
   _xlpm.dsl_eligible, $Z$32,
   _xlpm.normal_eligible, $AA$32,
   _xlpm.symbolic_warning, $Y$36,
   _xlpm.dsl_warning, $Z$36,
   _xlpm.normal_warning, $AA$36,
   _xlpm.symbolic_w1, $P$34,
   _xlpm.symbolic_w2, $P$34,
   _xlpm.symbolic_mean, ($P$34*Z13 + $P$34*AJ13)/($P$34*2),
   _xlpm.dsl_w1, $P$34,
   _xlpm.dsl_w2, $P$34,
   _xlpm.dsl_mean, ($P$34*AA13 + $P$34*AK13)/($P$34*2),
   _xlpm.normal_w1, $P$34,
   _xlpm.normal_w2, $P$34,
   _xlpm.normal_mean, ($P$34*AB13 + $P$34*AL13)/($P$34*2),
   _xlpm.eligible_means, IF(_xlpm.symbolic_eligible, _xlpm.symbolic_mean, 999) &amp; "," &amp;
                    IF(_xlpm.dsl_eligible, _xlpm.dsl_mean, 999) &amp; "," &amp;
                    IF(_xlpm.normal_eligible, _xlpm.normal_mean, 999),
   _xlpm.fastest, MIN(IF(_xlpm.symbolic_eligible, _xlpm.symbolic_mean, 999),
                IF(_xlpm.dsl_eligible, _xlpm.dsl_mean, 999),
                IF(_xlpm.normal_eligible, _xlpm.normal_mean, 999)),
   _xlpm.tie_count, (IF(_xlpm.symbolic_eligible, IF(_xlpm.symbolic_mean=_xlpm.fastest,1,0),0)) +
              (IF(_xlpm.dsl_eligible, IF(_xlpm.dsl_mean=_xlpm.fastest,1,0),0)) +
              (IF(_xlpm.normal_eligible, IF(_xlpm.normal_mean=_xlpm.fastest,1,0),0)),
   _xlpm.value_text, IF(AND(_xlpm.symbolic_eligible, _xlpm.symbolic_mean=_xlpm.fastest), TEXT(_xlpm.symbolic_mean, "0.00"),
                 IF(AND(_xlpm.dsl_eligible, _xlpm.dsl_mean=_xlpm.fastest), TEXT(_xlpm.dsl_mean, "0.00"),
                 IF(AND(_xlpm.normal_eligible, _xlpm.normal_mean=_xlpm.fastest), TEXT(_xlpm.normal_mean, "0.00"), ""))),
   _xlpm.winner_text, IF(_xlpm.tie_count=0, "⚠️ No Eligible Formats",
                 IF(_xlpm.tie_count&gt;1, "🤝 Tie (" &amp; TEXT(_xlpm.fastest, "0.00") &amp; "s)",
                    IF(AND(_xlpm.symbolic_eligible, _xlpm.symbolic_mean=_xlpm.fastest),
                       "🏆 Symbolic" &amp; _xlpm.symbolic_warning &amp; " (" &amp; _xlpm.value_text &amp; "s)",
                       IF(AND(_xlpm.dsl_eligible, _xlpm.dsl_mean=_xlpm.fastest),
                          "🏆 DSL/JSON" &amp; _xlpm.dsl_warning &amp; " (" &amp; _xlpm.value_text &amp; "s)",
                          IF(AND(_xlpm.normal_eligible, _xlpm.normal_mean=_xlpm.fastest),
                             "🏆 Normal" &amp; _xlpm.normal_warning &amp; " (" &amp; _xlpm.value_text &amp; "s)",
                             "Error"))))),
   _xlpm.winner_text
)</f>
        <v>🏆 Normal (1.22s)</v>
      </c>
      <c r="Y34" s="25" t="s">
        <v>671</v>
      </c>
      <c r="Z34" s="25"/>
      <c r="AA34" s="25"/>
      <c r="AB34" s="7"/>
      <c r="AD34" t="s">
        <v>644</v>
      </c>
      <c r="AE34" s="4">
        <f>SUM(AE32:AE33)/2</f>
        <v>1.7450000000000001</v>
      </c>
      <c r="AF34" s="4">
        <f t="shared" ref="AF34:AG34" si="25">SUM(AF32:AF33)/2</f>
        <v>1.53</v>
      </c>
      <c r="AG34" s="4">
        <f t="shared" si="25"/>
        <v>1.78</v>
      </c>
      <c r="AH34" t="str">
        <f>_xlfn.LET(
    _xlpm.sym_mean, Y44, _xlpm.sym_stability, AC44, _xlpm.sym_risk_m3, Z21, _xlpm.sym_risk_m5, AJ21,
    _xlpm.dsl_mean, Z44, _xlpm.dsl_stability, AD44, _xlpm.dsl_risk_m3, AA21, _xlpm.dsl_risk_m5, AK21,
    _xlpm.norm_mean, AA44, _xlpm.norm_stability, AE44, _xlpm.norm_risk_m3, AB21, _xlpm.norm_risk_m5, AL21,
    _xlpm.threshold, AJ55,
    _xlpm.min_mean, MIN(_xlpm.sym_mean, _xlpm.dsl_mean, _xlpm.norm_mean),
    _xlpm.tie_count, (_xlpm.sym_mean=_xlpm.min_mean)+(_xlpm.dsl_mean=_xlpm.min_mean)+(_xlpm.norm_mean=_xlpm.min_mean),
    _xlpm.all_tied, AND(ABS(_xlpm.sym_mean-_xlpm.dsl_mean)&lt;_xlpm.threshold, ABS(_xlpm.sym_mean-_xlpm.norm_mean)&lt;_xlpm.threshold, ABS(_xlpm.dsl_mean-_xlpm.norm_mean)&lt;_xlpm.threshold),
    IF(_xlpm.tie_count&gt;1,
        IF(_xlpm.all_tied,
            IF(AND(_xlpm.sym_stability&gt;=_xlpm.dsl_stability, _xlpm.sym_stability&gt;=_xlpm.norm_stability),
                "🏆 Symbolic" &amp; IF(OR(_xlpm.sym_risk_m3="🟡 MODERATE", _xlpm.sym_risk_m5="🟡 MODERATE"), "⚠️", "") &amp; " Conditional Winner (" &amp; TEXT(_xlpm.sym_mean,"0.00") &amp; "s)&lt;br&gt;&lt;sup&gt;⚖️ Three-way statistical tie | Symbolic wins on stability&lt;br&gt;&lt;/sup&gt;",
            IF(AND(_xlpm.dsl_stability&gt;=_xlpm.sym_stability, _xlpm.dsl_stability&gt;=_xlpm.norm_stability),
                "🏆 DSL/JSON" &amp; IF(OR(_xlpm.dsl_risk_m3="🟡 MODERATE", _xlpm.dsl_risk_m5="🟡 MODERATE"), "⚠️", "") &amp; " Conditional Winner (" &amp; TEXT(_xlpm.dsl_mean,"0.00") &amp; "s)&lt;br&gt;&lt;sup&gt;⚖️ Three-way statistical tie | DSL/JSON wins on stability&lt;br&gt;&lt;/sup&gt;",
                "🏆 Normal" &amp; IF(OR(_xlpm.norm_risk_m3="🟡 MODERATE", _xlpm.norm_risk_m5="🟡 MODERATE"), "⚠️", "") &amp; " Conditional Winner (" &amp; TEXT(_xlpm.norm_mean,"0.00") &amp; "s)&lt;br&gt;&lt;sup&gt;⚖️ Three-way statistical tie | Normal wins on stability&lt;br&gt;&lt;/sup&gt;")),
            "🏆 Need complex tie resolution"),
        IF(_xlpm.sym_mean=_xlpm.min_mean,
            "🏆 Symbolic" &amp; IF(OR(_xlpm.sym_risk_m3="🟡 MODERATE", _xlpm.sym_risk_m5="🟡 MODERATE"), "⚠️", "") &amp; " (" &amp; TEXT(_xlpm.sym_mean,"0.00") &amp; "s)",
        IF(_xlpm.dsl_mean=_xlpm.min_mean,
            "🏆 DSL/JSON" &amp; IF(OR(_xlpm.dsl_risk_m3="🟡 MODERATE", _xlpm.dsl_risk_m5="🟡 MODERATE"), "⚠️", "") &amp; " (" &amp; TEXT(_xlpm.dsl_mean,"0.00") &amp; "s)",
            "🏆 Normal" &amp; IF(OR(_xlpm.norm_risk_m3="🟡 MODERATE", _xlpm.norm_risk_m5="🟡 MODERATE"), "⚠️", "") &amp; " (" &amp; TEXT(_xlpm.norm_mean,"0.00") &amp; "s)")))
)</f>
        <v>🏆 DSL/JSON (1.53s)</v>
      </c>
    </row>
    <row r="35" spans="1:36" x14ac:dyDescent="0.25">
      <c r="A35" t="s">
        <v>78</v>
      </c>
      <c r="B35">
        <v>4</v>
      </c>
      <c r="C35" t="s">
        <v>13</v>
      </c>
      <c r="D35" t="s">
        <v>397</v>
      </c>
      <c r="E35" t="s">
        <v>398</v>
      </c>
      <c r="F35" s="1">
        <v>1.8518518518518518E-5</v>
      </c>
      <c r="G35" t="s">
        <v>16</v>
      </c>
      <c r="H35">
        <v>4</v>
      </c>
      <c r="I35">
        <v>74</v>
      </c>
      <c r="J35">
        <v>78</v>
      </c>
      <c r="L35" t="s">
        <v>17</v>
      </c>
      <c r="M35" s="3">
        <f t="shared" si="0"/>
        <v>1.5909998444840312</v>
      </c>
      <c r="O35" t="s">
        <v>658</v>
      </c>
      <c r="P35">
        <f>($P$34*Z9+AJ9*$P$34)/($P$34*2)</f>
        <v>1.7450000000000001</v>
      </c>
      <c r="T35" t="s">
        <v>674</v>
      </c>
      <c r="U35" t="str">
        <f>_xlfn.LET(
   _xlpm.symbolic, Z14,
   _xlpm.dsl_json, AA14,
   _xlpm.normal, AB14,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Symbolic (1.80s)</v>
      </c>
      <c r="V35" t="str">
        <f>_xlfn.LET(
   _xlpm.symbolic, AJ14,
   _xlpm.dsl_json, AK14,
   _xlpm.normal, AL14,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DSL/JSON (1.78s)</v>
      </c>
      <c r="W35" t="str">
        <f>_xlfn.LET(
   _xlpm.symbolic_eligible, $Y$32,
   _xlpm.dsl_eligible, $Z$32,
   _xlpm.normal_eligible, $AA$32,
   _xlpm.symbolic_warning, $Y$36,
   _xlpm.dsl_warning, $Z$36,
   _xlpm.normal_warning, $AA$36,
   _xlpm.symbolic_w1, $P$34,
   _xlpm.symbolic_w2, $P$34,
   _xlpm.symbolic_mean, ($P$34*Z14 + $P$34*AJ14)/($P$34*2),
   _xlpm.dsl_w1, $P$34,
   _xlpm.dsl_w2, $P$34,
   _xlpm.dsl_mean, ($P$34*AA14 + $P$34*AK14)/($P$34*2),
   _xlpm.normal_w1, $P$34,
   _xlpm.normal_w2, $P$34,
   _xlpm.normal_mean, ($P$34*AB14 + $P$34*AL14)/($P$34*2),
   _xlpm.eligible_means, IF(_xlpm.symbolic_eligible, _xlpm.symbolic_mean, 999) &amp; "," &amp;
                    IF(_xlpm.dsl_eligible, _xlpm.dsl_mean, 999) &amp; "," &amp;
                    IF(_xlpm.normal_eligible, _xlpm.normal_mean, 999),
   _xlpm.fastest, MIN(IF(_xlpm.symbolic_eligible, _xlpm.symbolic_mean, 999),
                IF(_xlpm.dsl_eligible, _xlpm.dsl_mean, 999),
                IF(_xlpm.normal_eligible, _xlpm.normal_mean, 999)),
   _xlpm.tie_count, (IF(_xlpm.symbolic_eligible, IF(_xlpm.symbolic_mean=_xlpm.fastest,1,0),0)) +
              (IF(_xlpm.dsl_eligible, IF(_xlpm.dsl_mean=_xlpm.fastest,1,0),0)) +
              (IF(_xlpm.normal_eligible, IF(_xlpm.normal_mean=_xlpm.fastest,1,0),0)),
   _xlpm.value_text, IF(AND(_xlpm.symbolic_eligible, _xlpm.symbolic_mean=_xlpm.fastest), TEXT(_xlpm.symbolic_mean, "0.00"),
                 IF(AND(_xlpm.dsl_eligible, _xlpm.dsl_mean=_xlpm.fastest), TEXT(_xlpm.dsl_mean, "0.00"),
                 IF(AND(_xlpm.normal_eligible, _xlpm.normal_mean=_xlpm.fastest), TEXT(_xlpm.normal_mean, "0.00"), ""))),
   _xlpm.winner_text, IF(_xlpm.tie_count=0, "⚠️ No Eligible Formats",
                 IF(_xlpm.tie_count&gt;1, "🤝 Tie (" &amp; TEXT(_xlpm.fastest, "0.00") &amp; "s)",
                    IF(AND(_xlpm.symbolic_eligible, _xlpm.symbolic_mean=_xlpm.fastest),
                       "🏆 Symbolic" &amp; _xlpm.symbolic_warning &amp; " (" &amp; _xlpm.value_text &amp; "s)",
                       IF(AND(_xlpm.dsl_eligible, _xlpm.dsl_mean=_xlpm.fastest),
                          "🏆 DSL/JSON" &amp; _xlpm.dsl_warning &amp; " (" &amp; _xlpm.value_text &amp; "s)",
                          IF(AND(_xlpm.normal_eligible, _xlpm.normal_mean=_xlpm.fastest),
                             "🏆 Normal" &amp; _xlpm.normal_warning &amp; " (" &amp; _xlpm.value_text &amp; "s)",
                             "Error"))))),
   _xlpm.winner_text
)</f>
        <v>🏆 DSL/JSON (1.95s)</v>
      </c>
      <c r="Y35" s="21" t="s">
        <v>668</v>
      </c>
      <c r="Z35" s="21" t="s">
        <v>669</v>
      </c>
      <c r="AA35" s="21" t="s">
        <v>670</v>
      </c>
      <c r="AE35" s="4"/>
      <c r="AF35" s="4"/>
      <c r="AG35" s="4"/>
      <c r="AI35" s="23" t="s">
        <v>686</v>
      </c>
      <c r="AJ35" s="23"/>
    </row>
    <row r="36" spans="1:36" x14ac:dyDescent="0.25">
      <c r="A36" t="s">
        <v>78</v>
      </c>
      <c r="B36">
        <v>5</v>
      </c>
      <c r="C36" t="s">
        <v>13</v>
      </c>
      <c r="D36" t="s">
        <v>399</v>
      </c>
      <c r="E36" t="s">
        <v>400</v>
      </c>
      <c r="F36" s="1">
        <v>1.7361111111111111E-5</v>
      </c>
      <c r="G36" t="s">
        <v>16</v>
      </c>
      <c r="H36">
        <v>4</v>
      </c>
      <c r="I36">
        <v>74</v>
      </c>
      <c r="J36">
        <v>78</v>
      </c>
      <c r="L36" t="s">
        <v>17</v>
      </c>
      <c r="M36" s="3">
        <f t="shared" si="0"/>
        <v>1.4559994451701641</v>
      </c>
      <c r="O36" t="s">
        <v>659</v>
      </c>
      <c r="P36">
        <f>($P$34*AA9+AK9*$P$34)/($P$34*2)</f>
        <v>1.53</v>
      </c>
      <c r="T36" t="s">
        <v>675</v>
      </c>
      <c r="U36" t="str">
        <f>_xlfn.LET(
   _xlpm.symbolic, Z15,
   _xlpm.dsl_json, AA15,
   _xlpm.normal, AB15,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Symbolic (0.15s)</v>
      </c>
      <c r="V36" t="str">
        <f>_xlfn.LET(
   _xlpm.symbolic, AJ15,
   _xlpm.dsl_json, AK15,
   _xlpm.normal, AL15,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Normal (0.16s)</v>
      </c>
      <c r="W36" t="str">
        <f>_xlfn.LET(
   _xlpm.symbolic_eligible, $Y$32,
   _xlpm.dsl_eligible, $Z$32,
   _xlpm.normal_eligible, $AA$32,
   _xlpm.symbolic_warning, $Y$36,
   _xlpm.dsl_warning, $Z$36,
   _xlpm.normal_warning, $AA$36,
   _xlpm.symbolic_w1, $P$34,
   _xlpm.symbolic_w2, $P$34,
   _xlpm.symbolic_mean, ($P$34*Z15 + $P$34*AJ15)/($P$34*2),
   _xlpm.dsl_w1, $P$34,
   _xlpm.dsl_w2, $P$34,
   _xlpm.dsl_mean, ($P$34*AA15 + $P$34*AK15)/($P$34*2),
   _xlpm.normal_w1, $P$34,
   _xlpm.normal_w2, $P$34,
   _xlpm.normal_mean, ($P$34*AB15 + $P$34*AL15)/($P$34*2),
   _xlpm.eligible_means, IF(_xlpm.symbolic_eligible, _xlpm.symbolic_mean, 999) &amp; "," &amp;
                    IF(_xlpm.dsl_eligible, _xlpm.dsl_mean, 999) &amp; "," &amp;
                    IF(_xlpm.normal_eligible, _xlpm.normal_mean, 999),
   _xlpm.fastest, MIN(IF(_xlpm.symbolic_eligible, _xlpm.symbolic_mean, 999),
                IF(_xlpm.dsl_eligible, _xlpm.dsl_mean, 999),
                IF(_xlpm.normal_eligible, _xlpm.normal_mean, 999)),
   _xlpm.tie_count, (IF(_xlpm.symbolic_eligible, IF(_xlpm.symbolic_mean=_xlpm.fastest,1,0),0)) +
              (IF(_xlpm.dsl_eligible, IF(_xlpm.dsl_mean=_xlpm.fastest,1,0),0)) +
              (IF(_xlpm.normal_eligible, IF(_xlpm.normal_mean=_xlpm.fastest,1,0),0)),
   _xlpm.value_text, IF(AND(_xlpm.symbolic_eligible, _xlpm.symbolic_mean=_xlpm.fastest), TEXT(_xlpm.symbolic_mean, "0.00"),
                 IF(AND(_xlpm.dsl_eligible, _xlpm.dsl_mean=_xlpm.fastest), TEXT(_xlpm.dsl_mean, "0.00"),
                 IF(AND(_xlpm.normal_eligible, _xlpm.normal_mean=_xlpm.fastest), TEXT(_xlpm.normal_mean, "0.00"), ""))),
   _xlpm.winner_text, IF(_xlpm.tie_count=0, "⚠️ No Eligible Formats",
                 IF(_xlpm.tie_count&gt;1, "🤝 Tie (" &amp; TEXT(_xlpm.fastest, "0.00") &amp; "s)",
                    IF(AND(_xlpm.symbolic_eligible, _xlpm.symbolic_mean=_xlpm.fastest),
                       "🏆 Symbolic" &amp; _xlpm.symbolic_warning &amp; " (" &amp; _xlpm.value_text &amp; "s)",
                       IF(AND(_xlpm.dsl_eligible, _xlpm.dsl_mean=_xlpm.fastest),
                          "🏆 DSL/JSON" &amp; _xlpm.dsl_warning &amp; " (" &amp; _xlpm.value_text &amp; "s)",
                          IF(AND(_xlpm.normal_eligible, _xlpm.normal_mean=_xlpm.fastest),
                             "🏆 Normal" &amp; _xlpm.normal_warning &amp; " (" &amp; _xlpm.value_text &amp; "s)",
                             "Error"))))),
   _xlpm.winner_text
)</f>
        <v>🏆 Symbolic (0.23s)</v>
      </c>
      <c r="Y36" s="22" t="str">
        <f>IF(AND(Y32=TRUE,OR(Z21="🟡 MODERATE",AJ21="🟡 MODERATE")), "⚠️", "")</f>
        <v/>
      </c>
      <c r="Z36" s="22" t="str">
        <f t="shared" ref="Z36:AA36" si="26">IF(AND(Z32=TRUE,OR(AA21="🟡 MODERATE",AK21="🟡 MODERATE")), "⚠️", "")</f>
        <v/>
      </c>
      <c r="AA36" s="22" t="str">
        <f t="shared" si="26"/>
        <v/>
      </c>
      <c r="AE36" s="4"/>
      <c r="AF36" s="4"/>
      <c r="AG36" s="4"/>
      <c r="AI36" t="s">
        <v>687</v>
      </c>
      <c r="AJ36" t="s">
        <v>688</v>
      </c>
    </row>
    <row r="37" spans="1:36" x14ac:dyDescent="0.25">
      <c r="A37" t="s">
        <v>78</v>
      </c>
      <c r="B37">
        <v>6</v>
      </c>
      <c r="C37" t="s">
        <v>13</v>
      </c>
      <c r="D37" t="s">
        <v>401</v>
      </c>
      <c r="E37" t="s">
        <v>402</v>
      </c>
      <c r="F37" s="1">
        <v>1.7361111111111111E-5</v>
      </c>
      <c r="G37" t="s">
        <v>16</v>
      </c>
      <c r="H37">
        <v>4</v>
      </c>
      <c r="I37">
        <v>74</v>
      </c>
      <c r="J37">
        <v>78</v>
      </c>
      <c r="L37" t="s">
        <v>17</v>
      </c>
      <c r="M37" s="3">
        <f t="shared" si="0"/>
        <v>1.5409994870424271</v>
      </c>
      <c r="O37" t="s">
        <v>660</v>
      </c>
      <c r="P37">
        <f>($P$34*AB9+AL9*$P$34)/($P$34*2)</f>
        <v>1.78</v>
      </c>
      <c r="T37" t="s">
        <v>676</v>
      </c>
      <c r="U37" t="str">
        <f>_xlfn.LET(
   _xlpm.symbolic, Z17,
   _xlpm.dsl_json, AA17,
   _xlpm.normal, AB17,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Symbolic (1.79s)</v>
      </c>
      <c r="V37" t="str">
        <f>_xlfn.LET(
   _xlpm.symbolic, AJ17,
   _xlpm.dsl_json, AK17,
   _xlpm.normal, AL17,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Normal (1.72s)</v>
      </c>
      <c r="W37" t="str">
        <f>_xlfn.LET(
   _xlpm.symbolic_eligible, $Y$32,
   _xlpm.dsl_eligible, $Z$32,
   _xlpm.normal_eligible, $AA$32,
   _xlpm.symbolic_warning, $Y$36,
   _xlpm.dsl_warning, $Z$36,
   _xlpm.normal_warning, $AA$36,
   _xlpm.symbolic_w1, $P$34,
   _xlpm.symbolic_w2, $P$34,
   _xlpm.symbolic_mean, ($P$34*Z17 + $P$34*AJ17)/($P$34*2),
   _xlpm.dsl_w1, $P$34,
   _xlpm.dsl_w2, $P$34,
   _xlpm.dsl_mean, ($P$34*AA17 + $P$34*AK17)/($P$34*2),
   _xlpm.normal_w1, $P$34,
   _xlpm.normal_w2, $P$34,
   _xlpm.normal_mean, ($P$34*AB17 + $P$34*AL17)/($P$34*2),
   _xlpm.eligible_means, IF(_xlpm.symbolic_eligible, _xlpm.symbolic_mean, 999) &amp; "," &amp;
                    IF(_xlpm.dsl_eligible, _xlpm.dsl_mean, 999) &amp; "," &amp;
                    IF(_xlpm.normal_eligible, _xlpm.normal_mean, 999),
   _xlpm.fastest, MIN(IF(_xlpm.symbolic_eligible, _xlpm.symbolic_mean, 999),
                IF(_xlpm.dsl_eligible, _xlpm.dsl_mean, 999),
                IF(_xlpm.normal_eligible, _xlpm.normal_mean, 999)),
   _xlpm.tie_count, (IF(_xlpm.symbolic_eligible, IF(_xlpm.symbolic_mean=_xlpm.fastest,1,0),0)) +
              (IF(_xlpm.dsl_eligible, IF(_xlpm.dsl_mean=_xlpm.fastest,1,0),0)) +
              (IF(_xlpm.normal_eligible, IF(_xlpm.normal_mean=_xlpm.fastest,1,0),0)),
   _xlpm.value_text, IF(AND(_xlpm.symbolic_eligible, _xlpm.symbolic_mean=_xlpm.fastest), TEXT(_xlpm.symbolic_mean, "0.00"),
                 IF(AND(_xlpm.dsl_eligible, _xlpm.dsl_mean=_xlpm.fastest), TEXT(_xlpm.dsl_mean, "0.00"),
                 IF(AND(_xlpm.normal_eligible, _xlpm.normal_mean=_xlpm.fastest), TEXT(_xlpm.normal_mean, "0.00"), ""))),
   _xlpm.winner_text, IF(_xlpm.tie_count=0, "⚠️ No Eligible Formats",
                 IF(_xlpm.tie_count&gt;1, "🤝 Tie (" &amp; TEXT(_xlpm.fastest, "0.00") &amp; "s)",
                    IF(AND(_xlpm.symbolic_eligible, _xlpm.symbolic_mean=_xlpm.fastest),
                       "🏆 Symbolic" &amp; _xlpm.symbolic_warning &amp; " (" &amp; _xlpm.value_text &amp; "s)",
                       IF(AND(_xlpm.dsl_eligible, _xlpm.dsl_mean=_xlpm.fastest),
                          "🏆 DSL/JSON" &amp; _xlpm.dsl_warning &amp; " (" &amp; _xlpm.value_text &amp; "s)",
                          IF(AND(_xlpm.normal_eligible, _xlpm.normal_mean=_xlpm.fastest),
                             "🏆 Normal" &amp; _xlpm.normal_warning &amp; " (" &amp; _xlpm.value_text &amp; "s)",
                             "Error"))))),
   _xlpm.winner_text
)</f>
        <v>🏆 DSL/JSON (1.89s)</v>
      </c>
      <c r="Z37" s="7"/>
      <c r="AE37" s="4"/>
      <c r="AF37" s="4"/>
      <c r="AG37" s="4"/>
      <c r="AI37" t="s">
        <v>689</v>
      </c>
      <c r="AJ37">
        <f>MIN(IF(AND(Y32=TRUE, Y40="✅ ELIGIBLE"), Y44, 9999),
     IF(AND(Z32=TRUE, Z40="✅ ELIGIBLE"), Z44, 9999),
     IF(AND(AA32=TRUE, AA40="✅ ELIGIBLE"), AA44, 9999))</f>
        <v>1.53</v>
      </c>
    </row>
    <row r="38" spans="1:36" x14ac:dyDescent="0.25">
      <c r="A38" t="s">
        <v>78</v>
      </c>
      <c r="B38">
        <v>7</v>
      </c>
      <c r="C38" t="s">
        <v>13</v>
      </c>
      <c r="D38" t="s">
        <v>403</v>
      </c>
      <c r="E38" t="s">
        <v>404</v>
      </c>
      <c r="F38" s="1">
        <v>1.8518518518518518E-5</v>
      </c>
      <c r="G38" t="s">
        <v>16</v>
      </c>
      <c r="H38">
        <v>4</v>
      </c>
      <c r="I38">
        <v>74</v>
      </c>
      <c r="J38">
        <v>78</v>
      </c>
      <c r="L38" t="s">
        <v>17</v>
      </c>
      <c r="M38" s="3">
        <f t="shared" si="0"/>
        <v>1.567000150680542</v>
      </c>
      <c r="O38" t="s">
        <v>661</v>
      </c>
      <c r="P38">
        <f>MIN(P9:R9)*0.05</f>
        <v>7.6500000000000012E-2</v>
      </c>
      <c r="T38" t="s">
        <v>677</v>
      </c>
      <c r="U38" t="str">
        <f>_xlfn.LET(
   _xlpm.symbolic, Z19,
   _xlpm.dsl_json, AA19,
   _xlpm.normal, AB19,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Symbolic (0.17s)</v>
      </c>
      <c r="V38" t="str">
        <f>_xlfn.LET(
   _xlpm.symbolic, AJ19,
   _xlpm.dsl_json, AK19,
   _xlpm.normal, AL19,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Normal (0.22s)</v>
      </c>
      <c r="W38" t="str">
        <f>_xlfn.LET(
   _xlpm.symbolic_eligible, $Y$32,
   _xlpm.dsl_eligible, $Z$32,
   _xlpm.normal_eligible, $AA$32,
   _xlpm.symbolic_warning, $Y$36,
   _xlpm.dsl_warning, $Z$36,
   _xlpm.normal_warning, $AA$36,
   _xlpm.symbolic_w1, $P$34,
   _xlpm.symbolic_w2, $P$34,
   _xlpm.symbolic_mean, ($P$34*Z19 + $P$34*AJ19)/($P$34*2),
   _xlpm.dsl_w1, $P$34,
   _xlpm.dsl_w2, $P$34,
   _xlpm.dsl_mean, ($P$34*AA19 + $P$34*AK19)/($P$34*2),
   _xlpm.normal_w1, $P$34,
   _xlpm.normal_w2, $P$34,
   _xlpm.normal_mean, ($P$34*AB19 + $P$34*AL19)/($P$34*2),
   _xlpm.eligible_means, IF(_xlpm.symbolic_eligible, _xlpm.symbolic_mean, 999) &amp; "," &amp;
                    IF(_xlpm.dsl_eligible, _xlpm.dsl_mean, 999) &amp; "," &amp;
                    IF(_xlpm.normal_eligible, _xlpm.normal_mean, 999),
   _xlpm.fastest, MIN(IF(_xlpm.symbolic_eligible, _xlpm.symbolic_mean, 999),
                IF(_xlpm.dsl_eligible, _xlpm.dsl_mean, 999),
                IF(_xlpm.normal_eligible, _xlpm.normal_mean, 999)),
   _xlpm.tie_count, (IF(_xlpm.symbolic_eligible, IF(_xlpm.symbolic_mean=_xlpm.fastest,1,0),0)) +
              (IF(_xlpm.dsl_eligible, IF(_xlpm.dsl_mean=_xlpm.fastest,1,0),0)) +
              (IF(_xlpm.normal_eligible, IF(_xlpm.normal_mean=_xlpm.fastest,1,0),0)),
   _xlpm.value_text, IF(AND(_xlpm.symbolic_eligible, _xlpm.symbolic_mean=_xlpm.fastest), TEXT(_xlpm.symbolic_mean, "0.00"),
                 IF(AND(_xlpm.dsl_eligible, _xlpm.dsl_mean=_xlpm.fastest), TEXT(_xlpm.dsl_mean, "0.00"),
                 IF(AND(_xlpm.normal_eligible, _xlpm.normal_mean=_xlpm.fastest), TEXT(_xlpm.normal_mean, "0.00"), ""))),
   _xlpm.winner_text, IF(_xlpm.tie_count=0, "⚠️ No Eligible Formats",
                 IF(_xlpm.tie_count&gt;1, "🤝 Tie (" &amp; TEXT(_xlpm.fastest, "0.00") &amp; "s)",
                    IF(AND(_xlpm.symbolic_eligible, _xlpm.symbolic_mean=_xlpm.fastest),
                       "🏆 Symbolic" &amp; _xlpm.symbolic_warning &amp; " (" &amp; _xlpm.value_text &amp; "s)",
                       IF(AND(_xlpm.dsl_eligible, _xlpm.dsl_mean=_xlpm.fastest),
                          "🏆 DSL/JSON" &amp; _xlpm.dsl_warning &amp; " (" &amp; _xlpm.value_text &amp; "s)",
                          IF(AND(_xlpm.normal_eligible, _xlpm.normal_mean=_xlpm.fastest),
                             "🏆 Normal" &amp; _xlpm.normal_warning &amp; " (" &amp; _xlpm.value_text &amp; "s)",
                             "Error"))))),
   _xlpm.winner_text
)</f>
        <v>🏆 Symbolic (0.21s)</v>
      </c>
      <c r="Y38" s="24" t="s">
        <v>684</v>
      </c>
      <c r="Z38" s="24"/>
      <c r="AA38" s="24"/>
      <c r="AE38" s="4"/>
      <c r="AF38" s="4"/>
      <c r="AG38" s="4"/>
      <c r="AI38" t="s">
        <v>690</v>
      </c>
      <c r="AJ38">
        <f>ROUND(AJ37 * 0.05,2)</f>
        <v>0.08</v>
      </c>
    </row>
    <row r="39" spans="1:36" x14ac:dyDescent="0.25">
      <c r="A39" t="s">
        <v>78</v>
      </c>
      <c r="B39">
        <v>8</v>
      </c>
      <c r="C39" t="s">
        <v>13</v>
      </c>
      <c r="D39" t="s">
        <v>405</v>
      </c>
      <c r="E39" t="s">
        <v>406</v>
      </c>
      <c r="F39" s="1">
        <v>2.0833333333333333E-5</v>
      </c>
      <c r="G39" t="s">
        <v>16</v>
      </c>
      <c r="H39">
        <v>4</v>
      </c>
      <c r="I39">
        <v>74</v>
      </c>
      <c r="J39">
        <v>78</v>
      </c>
      <c r="L39" t="s">
        <v>17</v>
      </c>
      <c r="M39" s="3">
        <f t="shared" si="0"/>
        <v>1.8309999257326126</v>
      </c>
      <c r="O39" t="s">
        <v>647</v>
      </c>
      <c r="P39" t="str">
        <f>_xlfn.LET(
    _xlpm.sym_mean, P9,
    _xlpm.dsl_mean, Q9,
    _xlpm.norm_mean, R9,
    _xlpm.sym_iqr_m3, Z20,
    _xlpm.dsl_iqr_m3, AA20,
    _xlpm.norm_iqr_m3, AB20,
    _xlpm.sym_p95_m3, Z17,
    _xlpm.dsl_p95_m3, AA17,
    _xlpm.norm_p95_m3, AB17,
    _xlpm.sym_iqr_m5, AJ20,
    _xlpm.dsl_iqr_m5, AK20,
    _xlpm.norm_iqr_m5, AL20,
    _xlpm.sym_p95_m5, AJ17,
    _xlpm.dsl_p95_m5, AK17,
    _xlpm.norm_p95_m5, AL17,
    _xlpm.t_m3, AB28,
    _xlpm.t_m5, AL28,
    _xlpm.threshold, P38,
    _xlpm.sym_risk_m3, IF(_xlpm.sym_iqr_m3 &lt; 20, "✅",
                   IF(AND(_xlpm.sym_iqr_m3 &gt;= 20, _xlpm.sym_iqr_m3 &lt; 30),
                       IF(_xlpm.sym_p95_m3 &lt; _xlpm.t_m3, "🟡", "🔴"),
                       IF(AND(_xlpm.sym_iqr_m3 &gt;= 30, _xlpm.sym_iqr_m3 &lt;= 50), "🔴",
                           IF(_xlpm.sym_iqr_m3 &gt; 50, "🚨", "⚠️")))),
    _xlpm.dsl_risk_m3, IF(_xlpm.dsl_iqr_m3 &lt; 20, "✅",
                   IF(AND(_xlpm.dsl_iqr_m3 &gt;= 20, _xlpm.dsl_iqr_m3 &lt; 30),
                       IF(_xlpm.dsl_p95_m3 &lt; _xlpm.t_m3, "🟡", "🔴"),
                       IF(AND(_xlpm.dsl_iqr_m3 &gt;= 30, _xlpm.dsl_iqr_m3 &lt;= 50), "🔴",
                           IF(_xlpm.dsl_iqr_m3 &gt; 50, "🚨", "⚠️")))),
    _xlpm.norm_risk_m3, IF(_xlpm.norm_iqr_m3 &lt; 20, "✅",
                    IF(AND(_xlpm.norm_iqr_m3 &gt;= 20, _xlpm.norm_iqr_m3 &lt; 30),
                        IF(_xlpm.norm_p95_m3 &lt; _xlpm.t_m3, "🟡", "🔴"),
                        IF(AND(_xlpm.norm_iqr_m3 &gt;= 30, _xlpm.norm_iqr_m3 &lt;= 50), "🔴",
                            IF(_xlpm.norm_iqr_m3 &gt; 50, "🚨", "⚠️")))),
    _xlpm.sym_risk_m5, IF(_xlpm.sym_iqr_m5 &lt; 20, "✅",
                   IF(AND(_xlpm.sym_iqr_m5 &gt;= 20, _xlpm.sym_iqr_m5 &lt; 30),
                       IF(_xlpm.sym_p95_m5 &lt; _xlpm.t_m5, "🟡", "🔴"),
                       IF(AND(_xlpm.sym_iqr_m5 &gt;= 30, _xlpm.sym_iqr_m5 &lt;= 50), "🔴",
                           IF(_xlpm.sym_iqr_m5 &gt; 50, "🚨", "⚠️")))),
    _xlpm.dsl_risk_m5, IF(_xlpm.dsl_iqr_m5 &lt; 20, "✅",
                   IF(AND(_xlpm.dsl_iqr_m5 &gt;= 20, _xlpm.dsl_iqr_m5 &lt; 30),
                       IF(_xlpm.dsl_p95_m5 &lt; _xlpm.t_m5, "🟡", "🔴"),
                       IF(AND(_xlpm.dsl_iqr_m5 &gt;= 30, _xlpm.dsl_iqr_m5 &lt;= 50), "🔴",
                           IF(_xlpm.dsl_iqr_m5 &gt; 50, "🚨", "⚠️")))),
    _xlpm.norm_risk_m5, IF(_xlpm.norm_iqr_m5 &lt; 20, "✅",
                    IF(AND(_xlpm.norm_iqr_m5 &gt;= 20, _xlpm.norm_iqr_m5 &lt; 30),
                        IF(_xlpm.norm_p95_m5 &lt; _xlpm.t_m5, "🟡", "🔴"),
                        IF(AND(_xlpm.norm_iqr_m5 &gt;= 30, _xlpm.norm_iqr_m5 &lt;= 50), "🔴",
                            IF(_xlpm.norm_iqr_m5 &gt; 50, "🚨", "⚠️")))),
    _xlpm.sym_eligible, AND(_xlpm.sym_risk_m3 &lt;&gt; "🔴", _xlpm.sym_risk_m3 &lt;&gt; "🚨",
                     _xlpm.sym_risk_m5 &lt;&gt; "🔴", _xlpm.sym_risk_m5 &lt;&gt; "🚨"),
    _xlpm.dsl_eligible, AND(_xlpm.dsl_risk_m3 &lt;&gt; "🔴", _xlpm.dsl_risk_m3 &lt;&gt; "🚨",
                     _xlpm.dsl_risk_m5 &lt;&gt; "🔴", _xlpm.dsl_risk_m5 &lt;&gt; "🚨"),
    _xlpm.norm_eligible, AND(_xlpm.norm_risk_m3 &lt;&gt; "🔴", _xlpm.norm_risk_m3 &lt;&gt; "🚨",
                      _xlpm.norm_risk_m5 &lt;&gt; "🔴", _xlpm.norm_risk_m5 &lt;&gt; "🚨"),
    _xlpm.min_eligible, MIN(
        IF(_xlpm.sym_eligible, _xlpm.sym_mean, 9999),
        IF(_xlpm.dsl_eligible, _xlpm.dsl_mean, 9999),
        IF(_xlpm.norm_eligible, _xlpm.norm_mean, 9999)
    ),
    _xlpm.tie_count, (_xlpm.sym_eligible * (_xlpm.sym_mean = _xlpm.min_eligible)) +
               (_xlpm.dsl_eligible * (_xlpm.dsl_mean = _xlpm.min_eligible)) +
               (_xlpm.norm_eligible * (_xlpm.norm_mean = _xlpm.min_eligible)),
    _xlpm.second_best, MIN(
        IF(_xlpm.sym_eligible * (_xlpm.sym_mean &gt; _xlpm.min_eligible), _xlpm.sym_mean, 9999),
        IF(_xlpm.dsl_eligible * (_xlpm.dsl_mean &gt; _xlpm.min_eligible), _xlpm.dsl_mean, 9999),
        IF(_xlpm.norm_eligible * (_xlpm.norm_mean &gt; _xlpm.min_eligible), _xlpm.norm_mean, 9999)
    ),
    _xlpm.diff, _xlpm.second_best - _xlpm.min_eligible,
    _xlpm.sym_risk_combined, IF(OR(_xlpm.sym_risk_m3 = "🔴", _xlpm.sym_risk_m3 = "🚨",
                            _xlpm.sym_risk_m5 = "🔴", _xlpm.sym_risk_m5 = "🚨"), "🔴",
                         IF(OR(_xlpm.sym_risk_m3 = "🟡", _xlpm.sym_risk_m5 = "🟡"), "🟡", "✅")),
    _xlpm.dsl_risk_combined, IF(OR(_xlpm.dsl_risk_m3 = "🔴", _xlpm.dsl_risk_m3 = "🚨",
                            _xlpm.dsl_risk_m5 = "🔴", _xlpm.dsl_risk_m5 = "🚨"), "🔴",
                         IF(OR(_xlpm.dsl_risk_m3 = "🟡", _xlpm.dsl_risk_m5 = "🟡"), "🟡", "✅")),
    _xlpm.norm_risk_combined, IF(OR(_xlpm.norm_risk_m3 = "🔴", _xlpm.norm_risk_m3 = "🚨",
                             _xlpm.norm_risk_m5 = "🔴", _xlpm.norm_risk_m5 = "🚨"), "🔴",
                          IF(OR(_xlpm.norm_risk_m3 = "🟡", _xlpm.norm_risk_m5 = "🟡"), "🟡", "✅")),
    _xlpm.winner_text, IF(_xlpm.sym_eligible * (_xlpm.sym_mean = _xlpm.min_eligible),
                    "Symbolic" &amp; IF(_xlpm.sym_risk_combined = "🟡", "⚠️", ""),
                   IF(_xlpm.dsl_eligible * (_xlpm.dsl_mean = _xlpm.min_eligible),
                    "DSL/JSON" &amp; IF(_xlpm.dsl_risk_combined = "🟡", "⚠️", ""),
                   IF(_xlpm.norm_eligible * (_xlpm.norm_mean = _xlpm.min_eligible),
                    "Normal" &amp; IF(_xlpm.norm_risk_combined = "🟡", "⚠️", ""), ""))),
    IF(_xlpm.min_eligible = 9999,
        "⚠️ No Eligible Formats",
        IF(_xlpm.tie_count &gt; 1,
            "⚖️ Statistical Tie†",
            IF(_xlpm.diff &lt; _xlpm.threshold,
                "⚖️ Statistical Tie†",
                "🏆 " &amp; _xlpm.winner_text
            )
        )
    )
)</f>
        <v>🏆 DSL/JSON</v>
      </c>
      <c r="T39" t="s">
        <v>678</v>
      </c>
      <c r="U39" t="str">
        <f>_xlfn.LET(
   _xlpm.symbolic, Z22,
   _xlpm.dsl_json, AA22,
   _xlpm.normal, AB22,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Symbolic (0.38s)</v>
      </c>
      <c r="V39" t="str">
        <f>_xlfn.LET(
   _xlpm.symbolic, AJ22,
   _xlpm.dsl_json, AK22,
   _xlpm.normal, AL22,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Normal (0.55s)</v>
      </c>
      <c r="W39" t="str">
        <f>_xlfn.LET(
   _xlpm.symbolic_eligible, $Y$32,
   _xlpm.dsl_eligible, $Z$32,
   _xlpm.normal_eligible, $AA$32,
   _xlpm.symbolic_warning, $Y$36,
   _xlpm.dsl_warning, $Z$36,
   _xlpm.normal_warning, $AA$36,
   _xlpm.symbolic_w1, $P$34,
   _xlpm.symbolic_w2, $P$34,
   _xlpm.symbolic_mean, ($P$34*Z22 + $P$34*AJ22)/($P$34*2),
   _xlpm.dsl_w1, $P$34,
   _xlpm.dsl_w2, $P$34,
   _xlpm.dsl_mean, ($P$34*AA22 + $P$34*AK22)/($P$34*2),
   _xlpm.normal_w1, $P$34,
   _xlpm.normal_w2, $P$34,
   _xlpm.normal_mean, ($P$34*AB22 + $P$34*AL22)/($P$34*2),
   _xlpm.eligible_means, IF(_xlpm.symbolic_eligible, _xlpm.symbolic_mean, 999) &amp; "," &amp;
                    IF(_xlpm.dsl_eligible, _xlpm.dsl_mean, 999) &amp; "," &amp;
                    IF(_xlpm.normal_eligible, _xlpm.normal_mean, 999),
   _xlpm.fastest, MIN(IF(_xlpm.symbolic_eligible, _xlpm.symbolic_mean, 999),
                IF(_xlpm.dsl_eligible, _xlpm.dsl_mean, 999),
                IF(_xlpm.normal_eligible, _xlpm.normal_mean, 999)),
   _xlpm.tie_count, (IF(_xlpm.symbolic_eligible, IF(_xlpm.symbolic_mean=_xlpm.fastest,1,0),0)) +
              (IF(_xlpm.dsl_eligible, IF(_xlpm.dsl_mean=_xlpm.fastest,1,0),0)) +
              (IF(_xlpm.normal_eligible, IF(_xlpm.normal_mean=_xlpm.fastest,1,0),0)),
   _xlpm.value_text, IF(AND(_xlpm.symbolic_eligible, _xlpm.symbolic_mean=_xlpm.fastest), TEXT(_xlpm.symbolic_mean, "0.00"),
                 IF(AND(_xlpm.dsl_eligible, _xlpm.dsl_mean=_xlpm.fastest), TEXT(_xlpm.dsl_mean, "0.00"),
                 IF(AND(_xlpm.normal_eligible, _xlpm.normal_mean=_xlpm.fastest), TEXT(_xlpm.normal_mean, "0.00"), ""))),
   _xlpm.winner_text, IF(_xlpm.tie_count=0, "⚠️ No Eligible Formats",
                 IF(_xlpm.tie_count&gt;1, "🤝 Tie (" &amp; TEXT(_xlpm.fastest, "0.00") &amp; "s)",
                    IF(AND(_xlpm.symbolic_eligible, _xlpm.symbolic_mean=_xlpm.fastest),
                       "🏆 Symbolic" &amp; _xlpm.symbolic_warning &amp; " (" &amp; _xlpm.value_text &amp; "s)",
                       IF(AND(_xlpm.dsl_eligible, _xlpm.dsl_mean=_xlpm.fastest),
                          "🏆 DSL/JSON" &amp; _xlpm.dsl_warning &amp; " (" &amp; _xlpm.value_text &amp; "s)",
                          IF(AND(_xlpm.normal_eligible, _xlpm.normal_mean=_xlpm.fastest),
                             "🏆 Normal" &amp; _xlpm.normal_warning &amp; " (" &amp; _xlpm.value_text &amp; "s)",
                             "Error"))))),
   _xlpm.winner_text
)</f>
        <v>🏆 Symbolic (0.67s)</v>
      </c>
      <c r="Y39" s="21" t="s">
        <v>668</v>
      </c>
      <c r="Z39" s="21" t="s">
        <v>669</v>
      </c>
      <c r="AA39" s="21" t="s">
        <v>670</v>
      </c>
      <c r="AE39" s="7"/>
      <c r="AF39" s="7"/>
      <c r="AG39" s="7"/>
      <c r="AI39" t="s">
        <v>691</v>
      </c>
      <c r="AJ39">
        <f>MIN(
   IF(AND(Y32=TRUE, Y40="✅ ELIGIBLE"), Y44, 9999),
   IF(AND(Z32=TRUE, Z40="✅ ELIGIBLE"), Z44, 9999),
   IF(AND(AA32=TRUE, AA40="✅ ELIGIBLE"), AA44, 9999),
   IF(
      MIN(
         IF(AND(Y32=TRUE, Y40="✅ ELIGIBLE"), Y44, 9999),
         IF(AND(Z32=TRUE, Z40="✅ ELIGIBLE"), Z44, 9999),
         IF(AND(AA32=TRUE, AA40="✅ ELIGIBLE"), AA44, 9999)
      ) =
      IF(AND(Y32=TRUE, Y40="✅ ELIGIBLE"), Y44, 9999), 9999,
      IF(AND(Y32=TRUE, Y40="✅ ELIGIBLE"), Y44, 9999)
   ),
   IF(
      MIN(
         IF(AND(Y32=TRUE, Y40="✅ ELIGIBLE"), Y44, 9999),
         IF(AND(Z32=TRUE, Z40="✅ ELIGIBLE"), Z44, 9999),
         IF(AND(AA32=TRUE, AA40="✅ ELIGIBLE"), AA44, 9999)
      ) =
      IF(AND(Z32=TRUE, Z40="✅ ELIGIBLE"), Z44, 9999), 9999,
      IF(AND(Z32=TRUE, Z40="✅ ELIGIBLE"), Z44, 9999)
   ),
   IF(
      MIN(
         IF(AND(Y32=TRUE, Y40="✅ ELIGIBLE"), Y44, 9999),
         IF(AND(Z32=TRUE, Z40="✅ ELIGIBLE"), Z44, 9999),
         IF(AND(AA32=TRUE, AA40="✅ ELIGIBLE"), AA44, 9999)
      ) =
      IF(AND(AA32=TRUE, AA40="✅ ELIGIBLE"), AA44, 9999), 9999,
      IF(AND(AA32=TRUE, AA40="✅ ELIGIBLE"), AA44, 9999)
   )
)</f>
        <v>1.53</v>
      </c>
    </row>
    <row r="40" spans="1:36" x14ac:dyDescent="0.25">
      <c r="A40" t="s">
        <v>78</v>
      </c>
      <c r="B40">
        <v>9</v>
      </c>
      <c r="C40" t="s">
        <v>13</v>
      </c>
      <c r="D40" t="s">
        <v>407</v>
      </c>
      <c r="E40" t="s">
        <v>408</v>
      </c>
      <c r="F40" s="1">
        <v>1.3888888888888888E-5</v>
      </c>
      <c r="G40" t="s">
        <v>16</v>
      </c>
      <c r="H40">
        <v>4</v>
      </c>
      <c r="I40">
        <v>74</v>
      </c>
      <c r="J40">
        <v>78</v>
      </c>
      <c r="L40" t="s">
        <v>17</v>
      </c>
      <c r="M40" s="3">
        <f t="shared" si="0"/>
        <v>1.2369998032227159</v>
      </c>
      <c r="T40" t="s">
        <v>679</v>
      </c>
      <c r="U40" t="str">
        <f>_xlfn.LET(
   _xlpm.symbolic, Z23,
   _xlpm.dsl_json, AA23,
   _xlpm.normal, AB23,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Symbolic (0.10s)</v>
      </c>
      <c r="V40" t="str">
        <f>_xlfn.LET(
   _xlpm.symbolic, AJ23,
   _xlpm.dsl_json, AK23,
   _xlpm.normal, AL23,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Normal (0.11s)</v>
      </c>
      <c r="W40" t="str">
        <f>_xlfn.LET(
   _xlpm.symbolic_eligible, $Y$32,
   _xlpm.dsl_eligible, $Z$32,
   _xlpm.normal_eligible, $AA$32,
   _xlpm.symbolic_warning, $Y$36,
   _xlpm.dsl_warning, $Z$36,
   _xlpm.normal_warning, $AA$36,
   _xlpm.symbolic_w1, $P$34,
   _xlpm.symbolic_w2, $P$34,
   _xlpm.symbolic_mean, ($P$34*Z23 + $P$34*AJ23)/($P$34*2),
   _xlpm.dsl_w1, $P$34,
   _xlpm.dsl_w2, $P$34,
   _xlpm.dsl_mean, ($P$34*AA23 + $P$34*AK23)/($P$34*2),
   _xlpm.normal_w1, $P$34,
   _xlpm.normal_w2, $P$34,
   _xlpm.normal_mean, ($P$34*AB23 + $P$34*AL23)/($P$34*2),
   _xlpm.eligible_means, IF(_xlpm.symbolic_eligible, _xlpm.symbolic_mean, 999) &amp; "," &amp;
                    IF(_xlpm.dsl_eligible, _xlpm.dsl_mean, 999) &amp; "," &amp;
                    IF(_xlpm.normal_eligible, _xlpm.normal_mean, 999),
   _xlpm.fastest, MIN(IF(_xlpm.symbolic_eligible, _xlpm.symbolic_mean, 999),
                IF(_xlpm.dsl_eligible, _xlpm.dsl_mean, 999),
                IF(_xlpm.normal_eligible, _xlpm.normal_mean, 999)),
   _xlpm.tie_count, (IF(_xlpm.symbolic_eligible, IF(_xlpm.symbolic_mean=_xlpm.fastest,1,0),0)) +
              (IF(_xlpm.dsl_eligible, IF(_xlpm.dsl_mean=_xlpm.fastest,1,0),0)) +
              (IF(_xlpm.normal_eligible, IF(_xlpm.normal_mean=_xlpm.fastest,1,0),0)),
   _xlpm.value_text, IF(AND(_xlpm.symbolic_eligible, _xlpm.symbolic_mean=_xlpm.fastest), TEXT(_xlpm.symbolic_mean, "0.00"),
                 IF(AND(_xlpm.dsl_eligible, _xlpm.dsl_mean=_xlpm.fastest), TEXT(_xlpm.dsl_mean, "0.00"),
                 IF(AND(_xlpm.normal_eligible, _xlpm.normal_mean=_xlpm.fastest), TEXT(_xlpm.normal_mean, "0.00"), ""))),
   _xlpm.winner_text, IF(_xlpm.tie_count=0, "⚠️ No Eligible Formats",
                 IF(_xlpm.tie_count&gt;1, "🤝 Tie (" &amp; TEXT(_xlpm.fastest, "0.00") &amp; "s)",
                    IF(AND(_xlpm.symbolic_eligible, _xlpm.symbolic_mean=_xlpm.fastest),
                       "🏆 Symbolic" &amp; _xlpm.symbolic_warning &amp; " (" &amp; _xlpm.value_text &amp; "s)",
                       IF(AND(_xlpm.dsl_eligible, _xlpm.dsl_mean=_xlpm.fastest),
                          "🏆 DSL/JSON" &amp; _xlpm.dsl_warning &amp; " (" &amp; _xlpm.value_text &amp; "s)",
                          IF(AND(_xlpm.normal_eligible, _xlpm.normal_mean=_xlpm.fastest),
                             "🏆 Normal" &amp; _xlpm.normal_warning &amp; " (" &amp; _xlpm.value_text &amp; "s)",
                             "Error"))))),
   _xlpm.winner_text
)</f>
        <v>🏆 Symbolic (0.13s)</v>
      </c>
      <c r="Y40" t="str">
        <f>IF(OR(Z21="🔴 SEVERE", Z21="🚨 CRITICAL", AJ21="🔴 SEVERE", AJ21="🚨 CRITICAL"),
    "❌ DISQUALIFIED", "✅ ELIGIBLE")</f>
        <v>✅ ELIGIBLE</v>
      </c>
      <c r="Z40" t="str">
        <f>IF(OR(AA21="🔴 SEVERE", AA21="🚨 CRITICAL", AK21="🔴 SEVERE", AK21="🚨 CRITICAL"),
    "❌ DISQUALIFIED", "✅ ELIGIBLE")</f>
        <v>✅ ELIGIBLE</v>
      </c>
      <c r="AA40" t="str">
        <f>IF(OR(AB21="🔴 SEVERE", AB21="🚨 CRITICAL", AL21="🔴 SEVERE", AL21="🚨 CRITICAL"),
    "❌ DISQUALIFIED", "✅ ELIGIBLE")</f>
        <v>✅ ELIGIBLE</v>
      </c>
      <c r="AE40" s="4"/>
      <c r="AF40" s="4"/>
      <c r="AG40" s="4"/>
      <c r="AI40" t="s">
        <v>692</v>
      </c>
      <c r="AJ40">
        <f>AJ39 - AJ37</f>
        <v>0</v>
      </c>
    </row>
    <row r="41" spans="1:36" x14ac:dyDescent="0.25">
      <c r="A41" t="s">
        <v>78</v>
      </c>
      <c r="B41">
        <v>10</v>
      </c>
      <c r="C41" t="s">
        <v>13</v>
      </c>
      <c r="D41" t="s">
        <v>409</v>
      </c>
      <c r="E41" t="s">
        <v>410</v>
      </c>
      <c r="F41" s="1">
        <v>1.6203703703703704E-5</v>
      </c>
      <c r="G41" t="s">
        <v>16</v>
      </c>
      <c r="H41">
        <v>4</v>
      </c>
      <c r="I41">
        <v>74</v>
      </c>
      <c r="J41">
        <v>78</v>
      </c>
      <c r="L41" t="s">
        <v>17</v>
      </c>
      <c r="M41" s="3">
        <f t="shared" si="0"/>
        <v>1.4380001462996006</v>
      </c>
      <c r="T41" t="s">
        <v>680</v>
      </c>
      <c r="U41" t="str">
        <f>_xlfn.LET(
   _xlpm.symbolic_mean, Z9,
   _xlpm.dsl_mean, AA9,
   _xlpm.normal_mean, AB9,
   _xlpm.symbolic_risk, Z21,
   _xlpm.dsl_risk, AA21,
   _xlpm.normal_risk, AB21,
   _xlpm.fastest_mean, MIN(_xlpm.symbolic_mean, _xlpm.dsl_mean, _xlpm.normal_mean),
   _xlpm.tie_count, (_xlpm.symbolic_mean=_xlpm.fastest_mean) + (_xlpm.dsl_mean=_xlpm.fastest_mean) + (_xlpm.normal_mean=_xlpm.fastest_mean),
   _xlpm.winner_text, IF(_xlpm.tie_count&gt;1, "🤝 Tie",
                 IF(_xlpm.symbolic_mean=_xlpm.fastest_mean,
                    "🏆 Symbolic" &amp; IF(_xlpm.symbolic_risk="🟡 MODERATE", "🟡",
                                      IF(_xlpm.symbolic_risk="🔴 SEVERE", "🔴",
                                      IF(_xlpm.symbolic_risk="🚨 CRITICAL", "🚨", ""))),
                    IF(_xlpm.dsl_mean=_xlpm.fastest_mean,
                       "🏆 DSL/JSON" &amp; IF(_xlpm.dsl_risk="🟡 MODERATE", "🟡",
                                         IF(_xlpm.dsl_risk="🔴 SEVERE", "🔴",
                                         IF(_xlpm.dsl_risk="🚨 CRITICAL", "🚨", ""))),
                       IF(_xlpm.normal_mean=_xlpm.fastest_mean,
                          "🏆 Normal" &amp; IF(_xlpm.normal_risk="🟡 MODERATE", "🟡",
                                          IF(_xlpm.normal_risk="🔴 SEVERE", "🔴",
                                          IF(_xlpm.normal_risk="🚨 CRITICAL", "🚨", ""))),
                          "Error")))),
   _xlpm.winner_text
)</f>
        <v>🏆 Symbolic</v>
      </c>
      <c r="V41" t="str">
        <f>_xlfn.LET(
   _xlpm.symbolic_mean, AJ9,
   _xlpm.dsl_mean, AK9,
   _xlpm.normal_mean, AL9,
   _xlpm.symbolic_risk, AJ21,
   _xlpm.dsl_risk, AK21,
   _xlpm.normal_risk, AL21,
   _xlpm.fastest_mean, MIN(_xlpm.symbolic_mean, _xlpm.dsl_mean, _xlpm.normal_mean),
   _xlpm.tie_count, (_xlpm.symbolic_mean=_xlpm.fastest_mean) + (_xlpm.dsl_mean=_xlpm.fastest_mean) + (_xlpm.normal_mean=_xlpm.fastest_mean),
   _xlpm.winner_text, IF(_xlpm.tie_count&gt;1, "🤝 Tie",
                 IF(_xlpm.symbolic_mean=_xlpm.fastest_mean,
                    "🏆 Symbolic" &amp; IF(_xlpm.symbolic_risk="🟡 MODERATE", "🟡",
                                      IF(_xlpm.symbolic_risk="🔴 SEVERE", "🔴",
                                      IF(_xlpm.symbolic_risk="🚨 CRITICAL", "🚨", ""))),
                    IF(_xlpm.dsl_mean=_xlpm.fastest_mean,
                       "🏆 DSL/JSON" &amp; IF(_xlpm.dsl_risk="🟡 MODERATE", "🟡",
                                         IF(_xlpm.dsl_risk="🔴 SEVERE", "🔴",
                                         IF(_xlpm.dsl_risk="🚨 CRITICAL", "🚨", ""))),
                       IF(_xlpm.normal_mean=_xlpm.fastest_mean,
                          "🏆 Normal" &amp; IF(_xlpm.normal_risk="🟡 MODERATE", "🟡",
                                          IF(_xlpm.normal_risk="🔴 SEVERE", "🔴",
                                          IF(_xlpm.normal_risk="🚨 CRITICAL", "🚨", ""))),
                          "Error")))),
   _xlpm.winner_text
)</f>
        <v>🤝 Tie</v>
      </c>
      <c r="W41" t="str">
        <f>_xlfn.LET(
   _xlpm.symbolic_eligible, $Y$32,
   _xlpm.dsl_eligible, $Z$32,
   _xlpm.normal_eligible, $AA$32,
   _xlpm.symbolic_warning, $Y$36,
   _xlpm.dsl_warning, $Z$36,
   _xlpm.normal_warning, $AA$36,
   _xlpm.eligible_count, _xlpm.symbolic_eligible + _xlpm.dsl_eligible + _xlpm.normal_eligible,
   _xlpm.symbolic_mean, ($P$34*Z9 + $P$34*AJ9)/($P$34*2),
   _xlpm.dsl_mean, ($P$34*AA9 + $P$34*AK9)/($P$34*2),
   _xlpm.normal_mean, ($P$34*AB9 + $P$34*AL9)/($P$34*2),
   _xlpm.fastest, MIN(IF(_xlpm.symbolic_eligible, _xlpm.symbolic_mean, 9999),
                IF(_xlpm.dsl_eligible, _xlpm.dsl_mean, 9999),
                IF(_xlpm.normal_eligible, _xlpm.normal_mean, 9999)),
   IF(_xlpm.eligible_count=0, "⚠️ No Eligible Formats",
      IF(_xlpm.eligible_count=1,
         IF(_xlpm.symbolic_eligible, "🏆 Symbolic" &amp; _xlpm.symbolic_warning,
            IF(_xlpm.dsl_eligible, "🏆 DSL/JSON" &amp; _xlpm.dsl_warning,
               "🏆 Normal" &amp; _xlpm.normal_warning)),
         IF(AND(_xlpm.symbolic_eligible, _xlpm.symbolic_mean=_xlpm.fastest), "🏆 Symbolic" &amp; _xlpm.symbolic_warning,
            IF(AND(_xlpm.dsl_eligible, _xlpm.dsl_mean=_xlpm.fastest), "🏆 DSL/JSON" &amp; _xlpm.dsl_warning,
               "🏆 Normal" &amp; _xlpm.normal_warning)))
   )
)</f>
        <v>🏆 DSL/JSON</v>
      </c>
      <c r="Z41" s="7"/>
      <c r="AE41" s="4"/>
      <c r="AF41" s="4"/>
      <c r="AG41" s="4"/>
      <c r="AI41" t="s">
        <v>693</v>
      </c>
      <c r="AJ41" t="str">
        <f>_xlfn.LET(
   _xlpm.means, Z9:AB9,
   _xlpm.min_mean, MIN(_xlpm.means),
   _xlpm.tie_count, (Z9=_xlpm.min_mean)+(AA9=_xlpm.min_mean)+(AB9=_xlpm.min_mean),
   _xlpm.winner, IF(Z9=_xlpm.min_mean, "Symbolic", IF(AA9=_xlpm.min_mean, "DSL/JSON", "Normal")),
   _xlpm.risk, IF(Z9=_xlpm.min_mean, Z24, IF(AA9=_xlpm.min_mean, AA24, AB24)),
   IF(_xlpm.tie_count&gt;1, "🤝 Tie", _xlpm.winner)
)</f>
        <v>Symbolic</v>
      </c>
    </row>
    <row r="42" spans="1:36" x14ac:dyDescent="0.25">
      <c r="A42" t="s">
        <v>78</v>
      </c>
      <c r="B42">
        <v>1</v>
      </c>
      <c r="C42" t="s">
        <v>36</v>
      </c>
      <c r="D42" t="s">
        <v>411</v>
      </c>
      <c r="E42" t="s">
        <v>412</v>
      </c>
      <c r="F42" s="1">
        <v>1.8518518518518518E-5</v>
      </c>
      <c r="G42" t="s">
        <v>16</v>
      </c>
      <c r="H42">
        <v>4</v>
      </c>
      <c r="I42">
        <v>150</v>
      </c>
      <c r="J42">
        <v>154</v>
      </c>
      <c r="L42" t="s">
        <v>17</v>
      </c>
      <c r="M42" s="3">
        <f t="shared" si="0"/>
        <v>1.6130004543811083</v>
      </c>
      <c r="Y42" s="24" t="s">
        <v>705</v>
      </c>
      <c r="Z42" s="24"/>
      <c r="AA42" s="24"/>
      <c r="AC42" s="24" t="s">
        <v>706</v>
      </c>
      <c r="AD42" s="24"/>
      <c r="AE42" s="24"/>
      <c r="AI42" t="s">
        <v>694</v>
      </c>
      <c r="AJ42" t="str">
        <f>_xlfn.LET(
   _xlpm.means, AJ9:AL9,
   _xlpm.min_mean, MIN(_xlpm.means),
   _xlpm.tie_count, (AJ9=_xlpm.min_mean)+(AK9=_xlpm.min_mean)+(AL9=_xlpm.min_mean),
   _xlpm.winner, IF(AJ9=_xlpm.min_mean, "Symbolic", IF(AK9=_xlpm.min_mean, "DSL/JSON", "Normal")),
   _xlpm.risk, IF(AJ9=_xlpm.min_mean, AJ24, IF(AK9=_xlpm.min_mean, AK24, AL24)),
   IF(_xlpm.tie_count&gt;1, "🤝 Tie", _xlpm.winner)
)</f>
        <v>🤝 Tie</v>
      </c>
    </row>
    <row r="43" spans="1:36" x14ac:dyDescent="0.25">
      <c r="A43" t="s">
        <v>78</v>
      </c>
      <c r="B43">
        <v>2</v>
      </c>
      <c r="C43" t="s">
        <v>36</v>
      </c>
      <c r="D43" t="s">
        <v>413</v>
      </c>
      <c r="E43" t="s">
        <v>414</v>
      </c>
      <c r="F43" s="1">
        <v>1.6203703703703704E-5</v>
      </c>
      <c r="G43" t="s">
        <v>16</v>
      </c>
      <c r="H43">
        <v>4</v>
      </c>
      <c r="I43">
        <v>150</v>
      </c>
      <c r="J43">
        <v>154</v>
      </c>
      <c r="L43" t="s">
        <v>17</v>
      </c>
      <c r="M43" s="3">
        <f t="shared" si="0"/>
        <v>1.3970000669360161</v>
      </c>
      <c r="Y43" s="21" t="s">
        <v>668</v>
      </c>
      <c r="Z43" s="21" t="s">
        <v>669</v>
      </c>
      <c r="AA43" s="21" t="s">
        <v>670</v>
      </c>
      <c r="AC43" s="21" t="s">
        <v>668</v>
      </c>
      <c r="AD43" s="21" t="s">
        <v>669</v>
      </c>
      <c r="AE43" s="21" t="s">
        <v>670</v>
      </c>
      <c r="AI43" t="s">
        <v>695</v>
      </c>
      <c r="AJ43" t="b">
        <f>AND(Y32=TRUE, Y40="✅ ELIGIBLE")</f>
        <v>1</v>
      </c>
    </row>
    <row r="44" spans="1:36" x14ac:dyDescent="0.25">
      <c r="A44" t="s">
        <v>78</v>
      </c>
      <c r="B44">
        <v>3</v>
      </c>
      <c r="C44" t="s">
        <v>36</v>
      </c>
      <c r="D44" t="s">
        <v>415</v>
      </c>
      <c r="E44" t="s">
        <v>416</v>
      </c>
      <c r="F44" s="1">
        <v>1.9675925925925925E-5</v>
      </c>
      <c r="G44" t="s">
        <v>16</v>
      </c>
      <c r="H44">
        <v>4</v>
      </c>
      <c r="I44">
        <v>150</v>
      </c>
      <c r="J44">
        <v>154</v>
      </c>
      <c r="L44" t="s">
        <v>17</v>
      </c>
      <c r="M44" s="3">
        <f t="shared" si="0"/>
        <v>1.7159997951239347</v>
      </c>
      <c r="Y44">
        <f>ROUND(($P$34*Z9+AJ9*$P$34)/($P$34*2),2)</f>
        <v>1.75</v>
      </c>
      <c r="Z44">
        <f t="shared" ref="Z44:AA44" si="27">ROUND(($P$34*AA9+AK9*$P$34)/($P$34*2),2)</f>
        <v>1.53</v>
      </c>
      <c r="AA44">
        <f t="shared" si="27"/>
        <v>1.78</v>
      </c>
      <c r="AC44" t="str">
        <f>_xlfn.LET(
    _xlpm.score, ROUND(1 - (ABS(Z9 - AJ9) / ((Z9 + AJ9) / 2)),2),
    _xlpm.clipped, MAX(0, MIN(1, _xlpm.score)),
    _xlpm.rating, IF(_xlpm.clipped &gt;= 0.95, "⭐",
              IF(_xlpm.clipped &gt;= 0.85, "✅",
                IF(_xlpm.clipped &gt;= 0.7, "⚠️", "❌"))),
    _xlpm.clipped &amp; " (" &amp; _xlpm.rating &amp; ")"
)</f>
        <v>0.78 (⚠️)</v>
      </c>
      <c r="AD44" t="str">
        <f>_xlfn.LET(
    _xlpm.score, ROUND(1 - (ABS(AA9 - AK9) / ((AA9 + AK9) / 2)),2),
    _xlpm.clipped, MAX(0, MIN(1, _xlpm.score)),
    _xlpm.rating, IF(_xlpm.clipped &gt;= 0.95, "⭐",
              IF(_xlpm.clipped &gt;= 0.85, "✅",
                IF(_xlpm.clipped &gt;= 0.7, "⚠️", "❌"))),
    _xlpm.clipped &amp; " (" &amp; _xlpm.rating &amp; ")"
)</f>
        <v>0.93 (✅)</v>
      </c>
      <c r="AE44" t="str">
        <f>_xlfn.LET(
    _xlpm.score, ROUND(1 - (ABS(AB9 - AL9) / ((AB9 + AL9) / 2)),2),
    _xlpm.clipped, MAX(0, MIN(1, _xlpm.score)),
    _xlpm.rating, IF(_xlpm.clipped &gt;= 0.95, "⭐",
              IF(_xlpm.clipped &gt;= 0.85, "✅",
                IF(_xlpm.clipped &gt;= 0.7, "⚠️", "❌"))),
    _xlpm.clipped &amp; " (" &amp; _xlpm.rating &amp; ")"
)</f>
        <v>0.66 (❌)</v>
      </c>
      <c r="AI44" t="s">
        <v>696</v>
      </c>
      <c r="AJ44" t="b">
        <f>AND(Z32=TRUE, Z40="✅ ELIGIBLE")</f>
        <v>1</v>
      </c>
    </row>
    <row r="45" spans="1:36" x14ac:dyDescent="0.25">
      <c r="A45" t="s">
        <v>78</v>
      </c>
      <c r="B45">
        <v>4</v>
      </c>
      <c r="C45" t="s">
        <v>36</v>
      </c>
      <c r="D45" t="s">
        <v>417</v>
      </c>
      <c r="E45" t="s">
        <v>418</v>
      </c>
      <c r="F45" s="1">
        <v>1.8518518518518518E-5</v>
      </c>
      <c r="G45" t="s">
        <v>16</v>
      </c>
      <c r="H45">
        <v>4</v>
      </c>
      <c r="I45">
        <v>150</v>
      </c>
      <c r="J45">
        <v>154</v>
      </c>
      <c r="L45" t="s">
        <v>17</v>
      </c>
      <c r="M45" s="3">
        <f t="shared" si="0"/>
        <v>1.6320005524903536</v>
      </c>
      <c r="AI45" t="s">
        <v>697</v>
      </c>
      <c r="AJ45" t="b">
        <f>AND(AA32=TRUE, AA40="✅ ELIGIBLE")</f>
        <v>1</v>
      </c>
    </row>
    <row r="46" spans="1:36" x14ac:dyDescent="0.25">
      <c r="A46" t="s">
        <v>78</v>
      </c>
      <c r="B46">
        <v>5</v>
      </c>
      <c r="C46" t="s">
        <v>36</v>
      </c>
      <c r="D46" t="s">
        <v>419</v>
      </c>
      <c r="E46" t="s">
        <v>420</v>
      </c>
      <c r="F46" s="1">
        <v>1.7361111111111111E-5</v>
      </c>
      <c r="G46" t="s">
        <v>16</v>
      </c>
      <c r="H46">
        <v>4</v>
      </c>
      <c r="I46">
        <v>150</v>
      </c>
      <c r="J46">
        <v>154</v>
      </c>
      <c r="L46" t="s">
        <v>17</v>
      </c>
      <c r="M46" s="3">
        <f t="shared" si="0"/>
        <v>1.4799997676163912</v>
      </c>
      <c r="AI46" t="s">
        <v>698</v>
      </c>
      <c r="AJ46" t="str">
        <f>IF(AND(AJ43=TRUE, OR(Z21="🟡 MODERATE", AJ21="🟡 MODERATE")), "⚠️", "")</f>
        <v/>
      </c>
    </row>
    <row r="47" spans="1:36" x14ac:dyDescent="0.25">
      <c r="A47" t="s">
        <v>78</v>
      </c>
      <c r="B47">
        <v>6</v>
      </c>
      <c r="C47" t="s">
        <v>36</v>
      </c>
      <c r="D47" t="s">
        <v>421</v>
      </c>
      <c r="E47" t="s">
        <v>422</v>
      </c>
      <c r="F47" s="1">
        <v>1.8518518518518518E-5</v>
      </c>
      <c r="G47" t="s">
        <v>16</v>
      </c>
      <c r="H47">
        <v>4</v>
      </c>
      <c r="I47">
        <v>150</v>
      </c>
      <c r="J47">
        <v>154</v>
      </c>
      <c r="L47" t="s">
        <v>17</v>
      </c>
      <c r="M47" s="3">
        <f t="shared" si="0"/>
        <v>1.5630000969395041</v>
      </c>
      <c r="AI47" t="s">
        <v>699</v>
      </c>
      <c r="AJ47" t="str">
        <f>IF(AND(AJ44=TRUE, OR(AA21="🟡 MODERATE", AK21="🟡 MODERATE")), "⚠️", "")</f>
        <v/>
      </c>
    </row>
    <row r="48" spans="1:36" x14ac:dyDescent="0.25">
      <c r="A48" t="s">
        <v>78</v>
      </c>
      <c r="B48">
        <v>7</v>
      </c>
      <c r="C48" t="s">
        <v>36</v>
      </c>
      <c r="D48" t="s">
        <v>423</v>
      </c>
      <c r="E48" t="s">
        <v>424</v>
      </c>
      <c r="F48" s="1">
        <v>1.5046296296296297E-5</v>
      </c>
      <c r="G48" t="s">
        <v>16</v>
      </c>
      <c r="H48">
        <v>4</v>
      </c>
      <c r="I48">
        <v>150</v>
      </c>
      <c r="J48">
        <v>154</v>
      </c>
      <c r="L48" t="s">
        <v>17</v>
      </c>
      <c r="M48" s="3">
        <f t="shared" si="0"/>
        <v>1.3340000063180923</v>
      </c>
      <c r="AI48" t="s">
        <v>700</v>
      </c>
      <c r="AJ48" t="str">
        <f>IF(AND(AJ45=TRUE, OR(AB21="🟡 MODERATE", AL21="🟡 MODERATE")), "⚠️", "")</f>
        <v/>
      </c>
    </row>
    <row r="49" spans="1:36" x14ac:dyDescent="0.25">
      <c r="A49" t="s">
        <v>78</v>
      </c>
      <c r="B49">
        <v>8</v>
      </c>
      <c r="C49" t="s">
        <v>36</v>
      </c>
      <c r="D49" t="s">
        <v>425</v>
      </c>
      <c r="E49" t="s">
        <v>426</v>
      </c>
      <c r="F49" s="1">
        <v>1.5046296296296297E-5</v>
      </c>
      <c r="G49" t="s">
        <v>16</v>
      </c>
      <c r="H49">
        <v>4</v>
      </c>
      <c r="I49">
        <v>150</v>
      </c>
      <c r="J49">
        <v>154</v>
      </c>
      <c r="L49" t="s">
        <v>17</v>
      </c>
      <c r="M49" s="3">
        <f t="shared" si="0"/>
        <v>1.3280002400279045</v>
      </c>
      <c r="AI49" t="s">
        <v>701</v>
      </c>
      <c r="AJ49" t="b" cm="1">
        <f t="array" ref="AJ49">AND(OR(AND(Z21="🔴 SEVERE", AJ21="🟡 MODERATE"),
        AND(Z21="🟡 MODERATE", AJ21="🔴 SEVERE")),
     Y44 = MIN(IF(Y40:AA40="✅ ELIGIBLE", Y44:AA44, 9999)))</f>
        <v>0</v>
      </c>
    </row>
    <row r="50" spans="1:36" x14ac:dyDescent="0.25">
      <c r="A50" t="s">
        <v>78</v>
      </c>
      <c r="B50">
        <v>9</v>
      </c>
      <c r="C50" t="s">
        <v>36</v>
      </c>
      <c r="D50" t="s">
        <v>427</v>
      </c>
      <c r="E50" t="s">
        <v>428</v>
      </c>
      <c r="F50" s="1">
        <v>1.3888888888888888E-5</v>
      </c>
      <c r="G50" t="s">
        <v>16</v>
      </c>
      <c r="H50">
        <v>4</v>
      </c>
      <c r="I50">
        <v>150</v>
      </c>
      <c r="J50">
        <v>154</v>
      </c>
      <c r="L50" t="s">
        <v>17</v>
      </c>
      <c r="M50" s="3">
        <f t="shared" si="0"/>
        <v>1.2379999738186598</v>
      </c>
      <c r="AI50" t="s">
        <v>702</v>
      </c>
      <c r="AJ50" t="b" cm="1">
        <f t="array" ref="AJ50">AND(OR(AND(AA21="🔴 SEVERE", AK21="🟡 MODERATE"),
        AND(AA21="🟡 MODERATE", AK21="🔴 SEVERE")),
     Z44 = MIN(IF(Y40:AA40="✅ ELIGIBLE", Y44:AA44, 9999)))</f>
        <v>0</v>
      </c>
    </row>
    <row r="51" spans="1:36" x14ac:dyDescent="0.25">
      <c r="A51" t="s">
        <v>78</v>
      </c>
      <c r="B51">
        <v>10</v>
      </c>
      <c r="C51" t="s">
        <v>36</v>
      </c>
      <c r="D51" t="s">
        <v>429</v>
      </c>
      <c r="E51" t="s">
        <v>430</v>
      </c>
      <c r="F51" s="1">
        <v>1.5046296296296297E-5</v>
      </c>
      <c r="G51" t="s">
        <v>16</v>
      </c>
      <c r="H51">
        <v>4</v>
      </c>
      <c r="I51">
        <v>150</v>
      </c>
      <c r="J51">
        <v>154</v>
      </c>
      <c r="L51" t="s">
        <v>17</v>
      </c>
      <c r="M51" s="3">
        <f t="shared" si="0"/>
        <v>1.2589997844770551</v>
      </c>
      <c r="AI51" t="s">
        <v>703</v>
      </c>
      <c r="AJ51" t="b" cm="1">
        <f t="array" ref="AJ51">AND(OR(AND(AB21="🔴 SEVERE", AL21="🟡 MODERATE"),
        AND(AB21="🟡 MODERATE", AL21="🔴 SEVERE")),
     AA44 = MIN(IF(Y40:AA40="✅ ELIGIBLE", Y44:AA44, 9999)))</f>
        <v>0</v>
      </c>
    </row>
    <row r="52" spans="1:36" x14ac:dyDescent="0.25">
      <c r="A52" t="s">
        <v>78</v>
      </c>
      <c r="B52">
        <v>1</v>
      </c>
      <c r="C52" t="s">
        <v>57</v>
      </c>
      <c r="D52" t="s">
        <v>431</v>
      </c>
      <c r="E52" t="s">
        <v>432</v>
      </c>
      <c r="F52" s="1">
        <v>2.199074074074074E-5</v>
      </c>
      <c r="G52" t="s">
        <v>16</v>
      </c>
      <c r="H52">
        <v>4</v>
      </c>
      <c r="I52">
        <v>104</v>
      </c>
      <c r="J52">
        <v>108</v>
      </c>
      <c r="L52" t="s">
        <v>17</v>
      </c>
      <c r="M52" s="3">
        <f t="shared" si="0"/>
        <v>1.8549996195361018</v>
      </c>
    </row>
    <row r="53" spans="1:36" x14ac:dyDescent="0.25">
      <c r="A53" t="s">
        <v>78</v>
      </c>
      <c r="B53">
        <v>2</v>
      </c>
      <c r="C53" t="s">
        <v>57</v>
      </c>
      <c r="D53" t="s">
        <v>433</v>
      </c>
      <c r="E53" t="s">
        <v>434</v>
      </c>
      <c r="F53" s="1">
        <v>1.9675925925925925E-5</v>
      </c>
      <c r="G53" t="s">
        <v>16</v>
      </c>
      <c r="H53">
        <v>4</v>
      </c>
      <c r="I53">
        <v>104</v>
      </c>
      <c r="J53">
        <v>108</v>
      </c>
      <c r="L53" t="s">
        <v>17</v>
      </c>
      <c r="M53" s="3">
        <f t="shared" si="0"/>
        <v>1.6999995801597834</v>
      </c>
      <c r="AI53" t="s">
        <v>707</v>
      </c>
      <c r="AJ53">
        <f>_xlfn.LET(
    _xlpm.sym_eligible, Y32,
    _xlpm.dsl_eligible, Z32,
    _xlpm.norm_eligible, AA32,
    (_xlpm.sym_eligible*1) + (_xlpm.dsl_eligible*1) + (_xlpm.norm_eligible*1)
)</f>
        <v>3</v>
      </c>
    </row>
    <row r="54" spans="1:36" x14ac:dyDescent="0.25">
      <c r="A54" t="s">
        <v>78</v>
      </c>
      <c r="B54">
        <v>3</v>
      </c>
      <c r="C54" t="s">
        <v>57</v>
      </c>
      <c r="D54" t="s">
        <v>435</v>
      </c>
      <c r="E54" t="s">
        <v>436</v>
      </c>
      <c r="F54" s="1">
        <v>1.2731481481481482E-5</v>
      </c>
      <c r="G54" t="s">
        <v>16</v>
      </c>
      <c r="H54">
        <v>4</v>
      </c>
      <c r="I54">
        <v>104</v>
      </c>
      <c r="J54">
        <v>108</v>
      </c>
      <c r="L54" t="s">
        <v>17</v>
      </c>
      <c r="M54" s="3">
        <f t="shared" si="0"/>
        <v>1.1189997894689441</v>
      </c>
      <c r="AI54" t="s">
        <v>708</v>
      </c>
      <c r="AJ54">
        <f>_xlfn.LET(
    _xlpm.sym_mean, Y44, _xlpm.sym_eligible, Y32,
    _xlpm.dsl_mean, Z44, _xlpm.dsl_eligible, Z32,
    _xlpm.norm_mean, AA44, _xlpm.norm_eligible, AA32,
    MIN(IF(_xlpm.sym_eligible, _xlpm.sym_mean, 9999), IF(_xlpm.dsl_eligible, _xlpm.dsl_mean, 9999), IF(_xlpm.norm_eligible, _xlpm.norm_mean, 9999))
)</f>
        <v>1.53</v>
      </c>
    </row>
    <row r="55" spans="1:36" x14ac:dyDescent="0.25">
      <c r="A55" t="s">
        <v>78</v>
      </c>
      <c r="B55">
        <v>4</v>
      </c>
      <c r="C55" t="s">
        <v>57</v>
      </c>
      <c r="D55" t="s">
        <v>437</v>
      </c>
      <c r="E55" t="s">
        <v>438</v>
      </c>
      <c r="F55" s="1">
        <v>1.5046296296296297E-5</v>
      </c>
      <c r="G55" t="s">
        <v>16</v>
      </c>
      <c r="H55">
        <v>4</v>
      </c>
      <c r="I55">
        <v>104</v>
      </c>
      <c r="J55">
        <v>108</v>
      </c>
      <c r="L55" t="s">
        <v>17</v>
      </c>
      <c r="M55" s="3">
        <f t="shared" si="0"/>
        <v>1.2669998919591308</v>
      </c>
      <c r="AI55" t="s">
        <v>690</v>
      </c>
      <c r="AJ55">
        <f>ROUND(AI34 * 0.05, 2)</f>
        <v>0</v>
      </c>
    </row>
    <row r="56" spans="1:36" x14ac:dyDescent="0.25">
      <c r="A56" t="s">
        <v>78</v>
      </c>
      <c r="B56">
        <v>5</v>
      </c>
      <c r="C56" t="s">
        <v>57</v>
      </c>
      <c r="D56" t="s">
        <v>439</v>
      </c>
      <c r="E56" t="s">
        <v>440</v>
      </c>
      <c r="F56" s="1">
        <v>1.7361111111111111E-5</v>
      </c>
      <c r="G56" t="s">
        <v>16</v>
      </c>
      <c r="H56">
        <v>4</v>
      </c>
      <c r="I56">
        <v>104</v>
      </c>
      <c r="J56">
        <v>108</v>
      </c>
      <c r="L56" t="s">
        <v>17</v>
      </c>
      <c r="M56" s="3">
        <f t="shared" si="0"/>
        <v>1.4610002981498837</v>
      </c>
      <c r="AI56" t="s">
        <v>709</v>
      </c>
      <c r="AJ56" t="str">
        <f>_xlfn.LET(
    _xlpm.sym_eligible, Y32, _xlpm.sym_risk_m3, Z21,
    _xlpm.dsl_eligible, Z32, _xlpm.dsl_risk_m3, AA21,
    _xlpm.norm_eligible, AA32, _xlpm.norm_risk_m3, AB21,
    IF(NOT(_xlpm.sym_eligible), "❌ Symbolic disqualified (" &amp; _xlpm.sym_risk_m3 &amp; " on Mar 3)&lt;br&gt;", "") &amp;
    IF(NOT(_xlpm.dsl_eligible), "❌ DSL/JSON disqualified (" &amp; _xlpm.dsl_risk_m3 &amp; " on Mar 3)&lt;br&gt;", "") &amp;
    IF(NOT(_xlpm.norm_eligible), "❌ Normal disqualified (" &amp; _xlpm.norm_risk_m3 &amp; " on Mar 3)&lt;br&gt;", "")
)</f>
        <v/>
      </c>
    </row>
    <row r="57" spans="1:36" x14ac:dyDescent="0.25">
      <c r="A57" t="s">
        <v>78</v>
      </c>
      <c r="B57">
        <v>6</v>
      </c>
      <c r="C57" t="s">
        <v>57</v>
      </c>
      <c r="D57" t="s">
        <v>441</v>
      </c>
      <c r="E57" t="s">
        <v>442</v>
      </c>
      <c r="F57" s="1">
        <v>1.6203703703703704E-5</v>
      </c>
      <c r="G57" t="s">
        <v>16</v>
      </c>
      <c r="H57">
        <v>4</v>
      </c>
      <c r="I57">
        <v>104</v>
      </c>
      <c r="J57">
        <v>108</v>
      </c>
      <c r="L57" t="s">
        <v>17</v>
      </c>
      <c r="M57" s="3">
        <f t="shared" si="0"/>
        <v>1.3619997538626194</v>
      </c>
      <c r="AI57" t="s">
        <v>710</v>
      </c>
      <c r="AJ57" t="str">
        <f>_xlfn.LET(
    _xlpm.sym_mean, Y44, _xlpm.sym_stability, AC44, _xlpm.sym_risk_m3, Z21, _xlpm.sym_risk_m5, AJ21,
    _xlpm.dsl_mean, Z44, _xlpm.dsl_stability, AD44, _xlpm.dsl_risk_m3, AA21, _xlpm.dsl_risk_m5, AK21,
    _xlpm.norm_mean, AA44, _xlpm.norm_stability, AE44, _xlpm.norm_risk_m3, AB21, _xlpm.norm_risk_m5, AL21,
    _xlpm.threshold, AJ55, _xlpm.notes, AJ56,
    _xlpm.min_mean, MIN(_xlpm.sym_mean, _xlpm.dsl_mean, _xlpm.norm_mean),
    _xlpm.tie_count, (_xlpm.sym_mean=_xlpm.min_mean)+(_xlpm.dsl_mean=_xlpm.min_mean)+(_xlpm.norm_mean=_xlpm.min_mean),
    _xlpm.all_tied, AND(ABS(_xlpm.sym_mean-_xlpm.dsl_mean)&lt;_xlpm.threshold, ABS(_xlpm.sym_mean-_xlpm.norm_mean)&lt;_xlpm.threshold, ABS(_xlpm.dsl_mean-_xlpm.norm_mean)&lt;_xlpm.threshold),
    IF(_xlpm.tie_count&gt;1,
        IF(_xlpm.all_tied,
            IF(AND(_xlpm.sym_stability&gt;=_xlpm.dsl_stability, _xlpm.sym_stability&gt;=_xlpm.norm_stability),
                "🏆 Symbolic" &amp; IF(OR(_xlpm.sym_risk_m3="🟡 MODERATE", _xlpm.sym_risk_m5="🟡 MODERATE"), "⚠️", "") &amp; " Conditional Winner (" &amp; TEXT(_xlpm.sym_mean,"0.00") &amp; "s)&lt;br&gt;&lt;sup&gt;⚖️ Three-way statistical tie | Symbolic wins on stability&lt;br&gt;" &amp; _xlpm.notes &amp; "&lt;/sup&gt;",
            IF(AND(_xlpm.dsl_stability&gt;=_xlpm.sym_stability, _xlpm.dsl_stability&gt;=_xlpm.norm_stability),
                "🏆 DSL/JSON" &amp; IF(OR(_xlpm.dsl_risk_m3="🟡 MODERATE", _xlpm.dsl_risk_m5="🟡 MODERATE"), "⚠️", "") &amp; " Conditional Winner (" &amp; TEXT(_xlpm.dsl_mean,"0.00") &amp; "s)&lt;br&gt;&lt;sup&gt;⚖️ Three-way statistical tie | DSL/JSON wins on stability&lt;br&gt;" &amp; _xlpm.notes &amp; "&lt;/sup&gt;",
                "🏆 Normal" &amp; IF(OR(_xlpm.norm_risk_m3="🟡 MODERATE", _xlpm.norm_risk_m5="🟡 MODERATE"), "⚠️", "") &amp; " Conditional Winner (" &amp; TEXT(_xlpm.norm_mean,"0.00") &amp; "s)&lt;br&gt;&lt;sup&gt;⚖️ Three-way statistical tie | Normal wins on stability&lt;br&gt;" &amp; _xlpm.notes &amp; "&lt;/sup&gt;")),
            "🏆 Need complex tie resolution"),
        IF(_xlpm.sym_mean=_xlpm.min_mean,
            "🏆 Symbolic" &amp; IF(OR(_xlpm.sym_risk_m3="🟡 MODERATE", _xlpm.sym_risk_m5="🟡 MODERATE"), "⚠️", "") &amp; " (" &amp; TEXT(_xlpm.sym_mean,"0.00") &amp; "s)&lt;br&gt;&lt;sup&gt;" &amp; _xlpm.notes &amp; "&lt;/sup&gt;",
        IF(_xlpm.dsl_mean=_xlpm.min_mean,
            "🏆 DSL/JSON" &amp; IF(OR(_xlpm.dsl_risk_m3="🟡 MODERATE", _xlpm.dsl_risk_m5="🟡 MODERATE"), "⚠️", "") &amp; " (" &amp; TEXT(_xlpm.dsl_mean,"0.00") &amp; "s)&lt;br&gt;&lt;sup&gt;" &amp; _xlpm.notes &amp; "&lt;/sup&gt;",
            "🏆 Normal" &amp; IF(OR(_xlpm.norm_risk_m3="🟡 MODERATE", _xlpm.norm_risk_m5="🟡 MODERATE"), "⚠️", "") &amp; " (" &amp; TEXT(_xlpm.norm_mean,"0.00") &amp; "s)&lt;br&gt;&lt;sup&gt;" &amp; _xlpm.notes &amp; "&lt;/sup&gt;")))
)</f>
        <v>🏆 DSL/JSON (1.53s)&lt;br&gt;&lt;sup&gt;&lt;/sup&gt;</v>
      </c>
    </row>
    <row r="58" spans="1:36" x14ac:dyDescent="0.25">
      <c r="A58" t="s">
        <v>78</v>
      </c>
      <c r="B58">
        <v>7</v>
      </c>
      <c r="C58" t="s">
        <v>57</v>
      </c>
      <c r="D58" t="s">
        <v>443</v>
      </c>
      <c r="E58" t="s">
        <v>444</v>
      </c>
      <c r="F58" s="1">
        <v>1.5046296296296297E-5</v>
      </c>
      <c r="G58" t="s">
        <v>16</v>
      </c>
      <c r="H58">
        <v>4</v>
      </c>
      <c r="I58">
        <v>104</v>
      </c>
      <c r="J58">
        <v>108</v>
      </c>
      <c r="L58" t="s">
        <v>17</v>
      </c>
      <c r="M58" s="3">
        <f t="shared" si="0"/>
        <v>1.2990003218874335</v>
      </c>
    </row>
    <row r="59" spans="1:36" x14ac:dyDescent="0.25">
      <c r="A59" t="s">
        <v>78</v>
      </c>
      <c r="B59">
        <v>8</v>
      </c>
      <c r="C59" t="s">
        <v>57</v>
      </c>
      <c r="D59" t="s">
        <v>445</v>
      </c>
      <c r="E59" t="s">
        <v>446</v>
      </c>
      <c r="F59" s="1">
        <v>1.6203703703703704E-5</v>
      </c>
      <c r="G59" t="s">
        <v>16</v>
      </c>
      <c r="H59">
        <v>4</v>
      </c>
      <c r="I59">
        <v>104</v>
      </c>
      <c r="J59">
        <v>108</v>
      </c>
      <c r="L59" t="s">
        <v>17</v>
      </c>
      <c r="M59" s="3">
        <f t="shared" si="0"/>
        <v>1.3790001394227147</v>
      </c>
    </row>
    <row r="60" spans="1:36" x14ac:dyDescent="0.25">
      <c r="A60" t="s">
        <v>78</v>
      </c>
      <c r="B60">
        <v>9</v>
      </c>
      <c r="C60" t="s">
        <v>57</v>
      </c>
      <c r="D60" t="s">
        <v>447</v>
      </c>
      <c r="E60" t="s">
        <v>448</v>
      </c>
      <c r="F60" s="1">
        <v>1.6203703703703704E-5</v>
      </c>
      <c r="G60" t="s">
        <v>16</v>
      </c>
      <c r="H60">
        <v>4</v>
      </c>
      <c r="I60">
        <v>104</v>
      </c>
      <c r="J60">
        <v>108</v>
      </c>
      <c r="L60" t="s">
        <v>17</v>
      </c>
      <c r="M60" s="3">
        <f t="shared" si="0"/>
        <v>1.4129996532574296</v>
      </c>
    </row>
    <row r="61" spans="1:36" x14ac:dyDescent="0.25">
      <c r="A61" t="s">
        <v>78</v>
      </c>
      <c r="B61">
        <v>10</v>
      </c>
      <c r="C61" t="s">
        <v>57</v>
      </c>
      <c r="D61" t="s">
        <v>449</v>
      </c>
      <c r="E61" t="s">
        <v>450</v>
      </c>
      <c r="F61" s="1">
        <v>1.3888888888888888E-5</v>
      </c>
      <c r="G61" t="s">
        <v>16</v>
      </c>
      <c r="H61">
        <v>4</v>
      </c>
      <c r="I61">
        <v>104</v>
      </c>
      <c r="J61">
        <v>108</v>
      </c>
      <c r="L61" t="s">
        <v>17</v>
      </c>
      <c r="M61" s="3">
        <f t="shared" si="0"/>
        <v>1.2119999388232827</v>
      </c>
    </row>
    <row r="62" spans="1:36" x14ac:dyDescent="0.25">
      <c r="A62" t="s">
        <v>139</v>
      </c>
      <c r="B62">
        <v>1</v>
      </c>
      <c r="C62" t="s">
        <v>13</v>
      </c>
      <c r="D62" t="s">
        <v>451</v>
      </c>
      <c r="E62" t="s">
        <v>452</v>
      </c>
      <c r="F62" s="1">
        <v>1.5046296296296297E-5</v>
      </c>
      <c r="G62" t="s">
        <v>16</v>
      </c>
      <c r="H62">
        <v>2</v>
      </c>
      <c r="I62">
        <v>67</v>
      </c>
      <c r="J62">
        <v>69</v>
      </c>
      <c r="L62" t="s">
        <v>17</v>
      </c>
      <c r="M62" s="3">
        <f t="shared" si="0"/>
        <v>1.3000004924833775</v>
      </c>
    </row>
    <row r="63" spans="1:36" x14ac:dyDescent="0.25">
      <c r="A63" t="s">
        <v>139</v>
      </c>
      <c r="B63">
        <v>2</v>
      </c>
      <c r="C63" t="s">
        <v>13</v>
      </c>
      <c r="D63" t="s">
        <v>453</v>
      </c>
      <c r="E63" t="s">
        <v>454</v>
      </c>
      <c r="F63" s="1">
        <v>1.2731481481481482E-5</v>
      </c>
      <c r="G63" t="s">
        <v>16</v>
      </c>
      <c r="H63">
        <v>2</v>
      </c>
      <c r="I63">
        <v>67</v>
      </c>
      <c r="J63">
        <v>69</v>
      </c>
      <c r="L63" t="s">
        <v>17</v>
      </c>
      <c r="M63" s="3">
        <f t="shared" si="0"/>
        <v>1.1350000044330955</v>
      </c>
    </row>
    <row r="64" spans="1:36" x14ac:dyDescent="0.25">
      <c r="A64" t="s">
        <v>139</v>
      </c>
      <c r="B64">
        <v>3</v>
      </c>
      <c r="C64" t="s">
        <v>13</v>
      </c>
      <c r="D64" t="s">
        <v>455</v>
      </c>
      <c r="E64" t="s">
        <v>456</v>
      </c>
      <c r="F64" s="1">
        <v>2.0833333333333333E-5</v>
      </c>
      <c r="G64" t="s">
        <v>16</v>
      </c>
      <c r="H64">
        <v>2</v>
      </c>
      <c r="I64">
        <v>67</v>
      </c>
      <c r="J64">
        <v>69</v>
      </c>
      <c r="L64" t="s">
        <v>17</v>
      </c>
      <c r="M64" s="3">
        <f t="shared" si="0"/>
        <v>1.0789998807013035</v>
      </c>
    </row>
    <row r="65" spans="1:13" x14ac:dyDescent="0.25">
      <c r="A65" t="s">
        <v>139</v>
      </c>
      <c r="B65">
        <v>4</v>
      </c>
      <c r="C65" t="s">
        <v>13</v>
      </c>
      <c r="D65" t="s">
        <v>457</v>
      </c>
      <c r="E65" t="s">
        <v>458</v>
      </c>
      <c r="F65" s="1">
        <v>1.3888888888888888E-5</v>
      </c>
      <c r="G65" t="s">
        <v>16</v>
      </c>
      <c r="H65">
        <v>2</v>
      </c>
      <c r="I65">
        <v>67</v>
      </c>
      <c r="J65">
        <v>69</v>
      </c>
      <c r="L65" t="s">
        <v>17</v>
      </c>
      <c r="M65" s="3">
        <f t="shared" si="0"/>
        <v>1.1720000300556421</v>
      </c>
    </row>
    <row r="66" spans="1:13" x14ac:dyDescent="0.25">
      <c r="A66" t="s">
        <v>139</v>
      </c>
      <c r="B66">
        <v>5</v>
      </c>
      <c r="C66" t="s">
        <v>13</v>
      </c>
      <c r="D66" t="s">
        <v>459</v>
      </c>
      <c r="E66" t="s">
        <v>460</v>
      </c>
      <c r="F66" s="1">
        <v>1.5046296296296297E-5</v>
      </c>
      <c r="G66" t="s">
        <v>16</v>
      </c>
      <c r="H66">
        <v>2</v>
      </c>
      <c r="I66">
        <v>67</v>
      </c>
      <c r="J66">
        <v>69</v>
      </c>
      <c r="L66" t="s">
        <v>17</v>
      </c>
      <c r="M66" s="3">
        <f t="shared" si="0"/>
        <v>1.2540001887828112</v>
      </c>
    </row>
    <row r="67" spans="1:13" x14ac:dyDescent="0.25">
      <c r="A67" t="s">
        <v>139</v>
      </c>
      <c r="B67">
        <v>6</v>
      </c>
      <c r="C67" t="s">
        <v>13</v>
      </c>
      <c r="D67" t="s">
        <v>461</v>
      </c>
      <c r="E67" t="s">
        <v>462</v>
      </c>
      <c r="F67" s="1">
        <v>1.2731481481481482E-5</v>
      </c>
      <c r="G67" t="s">
        <v>16</v>
      </c>
      <c r="H67">
        <v>2</v>
      </c>
      <c r="I67">
        <v>67</v>
      </c>
      <c r="J67">
        <v>69</v>
      </c>
      <c r="L67" t="s">
        <v>17</v>
      </c>
      <c r="M67" s="3">
        <f t="shared" ref="M67:M130" si="28">(SUBSTITUTE(LEFT(E67,23),"T"," ")-SUBSTITUTE(LEFT(D67,23),"T"," "))*86400</f>
        <v>1.0140001075342298</v>
      </c>
    </row>
    <row r="68" spans="1:13" x14ac:dyDescent="0.25">
      <c r="A68" t="s">
        <v>139</v>
      </c>
      <c r="B68">
        <v>7</v>
      </c>
      <c r="C68" t="s">
        <v>13</v>
      </c>
      <c r="D68" t="s">
        <v>463</v>
      </c>
      <c r="E68" t="s">
        <v>464</v>
      </c>
      <c r="F68" s="1">
        <v>1.5046296296296297E-5</v>
      </c>
      <c r="G68" t="s">
        <v>16</v>
      </c>
      <c r="H68">
        <v>2</v>
      </c>
      <c r="I68">
        <v>67</v>
      </c>
      <c r="J68">
        <v>69</v>
      </c>
      <c r="L68" t="s">
        <v>17</v>
      </c>
      <c r="M68" s="3">
        <f t="shared" si="28"/>
        <v>1.2680000625550747</v>
      </c>
    </row>
    <row r="69" spans="1:13" x14ac:dyDescent="0.25">
      <c r="A69" t="s">
        <v>139</v>
      </c>
      <c r="B69">
        <v>8</v>
      </c>
      <c r="C69" t="s">
        <v>13</v>
      </c>
      <c r="D69" t="s">
        <v>465</v>
      </c>
      <c r="E69" t="s">
        <v>466</v>
      </c>
      <c r="F69" s="1">
        <v>1.5046296296296297E-5</v>
      </c>
      <c r="G69" t="s">
        <v>16</v>
      </c>
      <c r="H69">
        <v>2</v>
      </c>
      <c r="I69">
        <v>67</v>
      </c>
      <c r="J69">
        <v>69</v>
      </c>
      <c r="L69" t="s">
        <v>17</v>
      </c>
      <c r="M69" s="3">
        <f t="shared" si="28"/>
        <v>1.3259998988360167</v>
      </c>
    </row>
    <row r="70" spans="1:13" x14ac:dyDescent="0.25">
      <c r="A70" t="s">
        <v>139</v>
      </c>
      <c r="B70">
        <v>9</v>
      </c>
      <c r="C70" t="s">
        <v>13</v>
      </c>
      <c r="D70" t="s">
        <v>467</v>
      </c>
      <c r="E70" t="s">
        <v>468</v>
      </c>
      <c r="F70" s="1">
        <v>1.3888888888888888E-5</v>
      </c>
      <c r="G70" t="s">
        <v>16</v>
      </c>
      <c r="H70">
        <v>2</v>
      </c>
      <c r="I70">
        <v>67</v>
      </c>
      <c r="J70">
        <v>69</v>
      </c>
      <c r="L70" t="s">
        <v>17</v>
      </c>
      <c r="M70" s="3">
        <f t="shared" si="28"/>
        <v>1.2390001444146037</v>
      </c>
    </row>
    <row r="71" spans="1:13" x14ac:dyDescent="0.25">
      <c r="A71" t="s">
        <v>139</v>
      </c>
      <c r="B71">
        <v>10</v>
      </c>
      <c r="C71" t="s">
        <v>13</v>
      </c>
      <c r="D71" t="s">
        <v>469</v>
      </c>
      <c r="E71" t="s">
        <v>470</v>
      </c>
      <c r="F71" s="1">
        <v>1.3888888888888888E-5</v>
      </c>
      <c r="G71" t="s">
        <v>16</v>
      </c>
      <c r="H71">
        <v>2</v>
      </c>
      <c r="I71">
        <v>67</v>
      </c>
      <c r="J71">
        <v>69</v>
      </c>
      <c r="L71" t="s">
        <v>17</v>
      </c>
      <c r="M71" s="3">
        <f t="shared" si="28"/>
        <v>1.1610000394284725</v>
      </c>
    </row>
    <row r="72" spans="1:13" x14ac:dyDescent="0.25">
      <c r="A72" t="s">
        <v>139</v>
      </c>
      <c r="B72">
        <v>1</v>
      </c>
      <c r="C72" t="s">
        <v>36</v>
      </c>
      <c r="D72" t="s">
        <v>471</v>
      </c>
      <c r="E72" t="s">
        <v>472</v>
      </c>
      <c r="F72" s="1">
        <v>1.5046296296296297E-5</v>
      </c>
      <c r="G72" t="s">
        <v>16</v>
      </c>
      <c r="H72">
        <v>2</v>
      </c>
      <c r="I72">
        <v>161</v>
      </c>
      <c r="J72">
        <v>163</v>
      </c>
      <c r="L72" t="s">
        <v>17</v>
      </c>
      <c r="M72" s="3">
        <f t="shared" si="28"/>
        <v>1.3340000063180923</v>
      </c>
    </row>
    <row r="73" spans="1:13" x14ac:dyDescent="0.25">
      <c r="A73" t="s">
        <v>139</v>
      </c>
      <c r="B73">
        <v>2</v>
      </c>
      <c r="C73" t="s">
        <v>36</v>
      </c>
      <c r="D73" t="s">
        <v>473</v>
      </c>
      <c r="E73" t="s">
        <v>474</v>
      </c>
      <c r="F73" s="1">
        <v>1.3888888888888888E-5</v>
      </c>
      <c r="G73" t="s">
        <v>16</v>
      </c>
      <c r="H73">
        <v>2</v>
      </c>
      <c r="I73">
        <v>161</v>
      </c>
      <c r="J73">
        <v>163</v>
      </c>
      <c r="L73" t="s">
        <v>17</v>
      </c>
      <c r="M73" s="3">
        <f t="shared" si="28"/>
        <v>1.1589996982365847</v>
      </c>
    </row>
    <row r="74" spans="1:13" x14ac:dyDescent="0.25">
      <c r="A74" t="s">
        <v>139</v>
      </c>
      <c r="B74">
        <v>3</v>
      </c>
      <c r="C74" t="s">
        <v>36</v>
      </c>
      <c r="D74" t="s">
        <v>475</v>
      </c>
      <c r="E74" t="s">
        <v>476</v>
      </c>
      <c r="F74" s="1">
        <v>1.2731481481481482E-5</v>
      </c>
      <c r="G74" t="s">
        <v>16</v>
      </c>
      <c r="H74">
        <v>2</v>
      </c>
      <c r="I74">
        <v>161</v>
      </c>
      <c r="J74">
        <v>163</v>
      </c>
      <c r="L74" t="s">
        <v>17</v>
      </c>
      <c r="M74" s="3">
        <f t="shared" si="28"/>
        <v>1.119999960064888</v>
      </c>
    </row>
    <row r="75" spans="1:13" x14ac:dyDescent="0.25">
      <c r="A75" t="s">
        <v>139</v>
      </c>
      <c r="B75">
        <v>4</v>
      </c>
      <c r="C75" t="s">
        <v>36</v>
      </c>
      <c r="D75" t="s">
        <v>477</v>
      </c>
      <c r="E75" t="s">
        <v>478</v>
      </c>
      <c r="F75" s="1">
        <v>1.3888888888888888E-5</v>
      </c>
      <c r="G75" t="s">
        <v>16</v>
      </c>
      <c r="H75">
        <v>2</v>
      </c>
      <c r="I75">
        <v>161</v>
      </c>
      <c r="J75">
        <v>163</v>
      </c>
      <c r="L75" t="s">
        <v>17</v>
      </c>
      <c r="M75" s="3">
        <f t="shared" si="28"/>
        <v>1.1919996701180935</v>
      </c>
    </row>
    <row r="76" spans="1:13" x14ac:dyDescent="0.25">
      <c r="A76" t="s">
        <v>139</v>
      </c>
      <c r="B76">
        <v>5</v>
      </c>
      <c r="C76" t="s">
        <v>36</v>
      </c>
      <c r="D76" t="s">
        <v>479</v>
      </c>
      <c r="E76" t="s">
        <v>480</v>
      </c>
      <c r="F76" s="1">
        <v>1.3888888888888888E-5</v>
      </c>
      <c r="G76" t="s">
        <v>16</v>
      </c>
      <c r="H76">
        <v>2</v>
      </c>
      <c r="I76">
        <v>161</v>
      </c>
      <c r="J76">
        <v>163</v>
      </c>
      <c r="L76" t="s">
        <v>17</v>
      </c>
      <c r="M76" s="3">
        <f t="shared" si="28"/>
        <v>1.2230005580931902</v>
      </c>
    </row>
    <row r="77" spans="1:13" x14ac:dyDescent="0.25">
      <c r="A77" t="s">
        <v>139</v>
      </c>
      <c r="B77">
        <v>6</v>
      </c>
      <c r="C77" t="s">
        <v>36</v>
      </c>
      <c r="D77" t="s">
        <v>481</v>
      </c>
      <c r="E77" t="s">
        <v>482</v>
      </c>
      <c r="F77" s="1">
        <v>1.1574074074074073E-5</v>
      </c>
      <c r="G77" t="s">
        <v>16</v>
      </c>
      <c r="H77">
        <v>2</v>
      </c>
      <c r="I77">
        <v>161</v>
      </c>
      <c r="J77">
        <v>163</v>
      </c>
      <c r="L77" t="s">
        <v>17</v>
      </c>
      <c r="M77" s="3">
        <f t="shared" si="28"/>
        <v>0.99999960511922836</v>
      </c>
    </row>
    <row r="78" spans="1:13" x14ac:dyDescent="0.25">
      <c r="A78" t="s">
        <v>139</v>
      </c>
      <c r="B78">
        <v>7</v>
      </c>
      <c r="C78" t="s">
        <v>36</v>
      </c>
      <c r="D78" t="s">
        <v>483</v>
      </c>
      <c r="E78" t="s">
        <v>484</v>
      </c>
      <c r="F78" s="1">
        <v>1.6203703703703704E-5</v>
      </c>
      <c r="G78" t="s">
        <v>16</v>
      </c>
      <c r="H78">
        <v>2</v>
      </c>
      <c r="I78">
        <v>161</v>
      </c>
      <c r="J78">
        <v>163</v>
      </c>
      <c r="L78" t="s">
        <v>17</v>
      </c>
      <c r="M78" s="3">
        <f t="shared" si="28"/>
        <v>1.036000088788569</v>
      </c>
    </row>
    <row r="79" spans="1:13" x14ac:dyDescent="0.25">
      <c r="A79" t="s">
        <v>139</v>
      </c>
      <c r="B79">
        <v>8</v>
      </c>
      <c r="C79" t="s">
        <v>36</v>
      </c>
      <c r="D79" t="s">
        <v>485</v>
      </c>
      <c r="E79" t="s">
        <v>486</v>
      </c>
      <c r="F79" s="1">
        <v>1.2731481481481482E-5</v>
      </c>
      <c r="G79" t="s">
        <v>16</v>
      </c>
      <c r="H79">
        <v>2</v>
      </c>
      <c r="I79">
        <v>161</v>
      </c>
      <c r="J79">
        <v>163</v>
      </c>
      <c r="L79" t="s">
        <v>17</v>
      </c>
      <c r="M79" s="3">
        <f t="shared" si="28"/>
        <v>1.1309999506920576</v>
      </c>
    </row>
    <row r="80" spans="1:13" x14ac:dyDescent="0.25">
      <c r="A80" t="s">
        <v>139</v>
      </c>
      <c r="B80">
        <v>9</v>
      </c>
      <c r="C80" t="s">
        <v>36</v>
      </c>
      <c r="D80" t="s">
        <v>487</v>
      </c>
      <c r="E80" t="s">
        <v>488</v>
      </c>
      <c r="F80" s="1">
        <v>1.1574074074074073E-5</v>
      </c>
      <c r="G80" t="s">
        <v>16</v>
      </c>
      <c r="H80">
        <v>2</v>
      </c>
      <c r="I80">
        <v>161</v>
      </c>
      <c r="J80">
        <v>163</v>
      </c>
      <c r="L80" t="s">
        <v>17</v>
      </c>
      <c r="M80" s="3">
        <f t="shared" si="28"/>
        <v>0.99400046747177839</v>
      </c>
    </row>
    <row r="81" spans="1:13" x14ac:dyDescent="0.25">
      <c r="A81" t="s">
        <v>139</v>
      </c>
      <c r="B81">
        <v>10</v>
      </c>
      <c r="C81" t="s">
        <v>36</v>
      </c>
      <c r="D81" t="s">
        <v>489</v>
      </c>
      <c r="E81" t="s">
        <v>490</v>
      </c>
      <c r="F81" s="1">
        <v>1.2731481481481482E-5</v>
      </c>
      <c r="G81" t="s">
        <v>16</v>
      </c>
      <c r="H81">
        <v>2</v>
      </c>
      <c r="I81">
        <v>161</v>
      </c>
      <c r="J81">
        <v>163</v>
      </c>
      <c r="L81" t="s">
        <v>17</v>
      </c>
      <c r="M81" s="3">
        <f t="shared" si="28"/>
        <v>1.1440002825111151</v>
      </c>
    </row>
    <row r="82" spans="1:13" x14ac:dyDescent="0.25">
      <c r="A82" t="s">
        <v>139</v>
      </c>
      <c r="B82">
        <v>1</v>
      </c>
      <c r="C82" t="s">
        <v>57</v>
      </c>
      <c r="D82" t="s">
        <v>491</v>
      </c>
      <c r="E82" t="s">
        <v>492</v>
      </c>
      <c r="F82" s="1">
        <v>1.5046296296296297E-5</v>
      </c>
      <c r="G82" t="s">
        <v>16</v>
      </c>
      <c r="H82">
        <v>2</v>
      </c>
      <c r="I82">
        <v>94</v>
      </c>
      <c r="J82">
        <v>96</v>
      </c>
      <c r="L82" t="s">
        <v>17</v>
      </c>
      <c r="M82" s="3">
        <f t="shared" si="28"/>
        <v>1.3189999619498849</v>
      </c>
    </row>
    <row r="83" spans="1:13" x14ac:dyDescent="0.25">
      <c r="A83" t="s">
        <v>139</v>
      </c>
      <c r="B83">
        <v>2</v>
      </c>
      <c r="C83" t="s">
        <v>57</v>
      </c>
      <c r="D83" t="s">
        <v>493</v>
      </c>
      <c r="E83" t="s">
        <v>494</v>
      </c>
      <c r="F83" s="1">
        <v>1.2731481481481482E-5</v>
      </c>
      <c r="G83" t="s">
        <v>16</v>
      </c>
      <c r="H83">
        <v>2</v>
      </c>
      <c r="I83">
        <v>94</v>
      </c>
      <c r="J83">
        <v>96</v>
      </c>
      <c r="L83" t="s">
        <v>17</v>
      </c>
      <c r="M83" s="3">
        <f t="shared" si="28"/>
        <v>1.1360001750290394</v>
      </c>
    </row>
    <row r="84" spans="1:13" x14ac:dyDescent="0.25">
      <c r="A84" t="s">
        <v>139</v>
      </c>
      <c r="B84">
        <v>3</v>
      </c>
      <c r="C84" t="s">
        <v>57</v>
      </c>
      <c r="D84" t="s">
        <v>495</v>
      </c>
      <c r="E84" t="s">
        <v>496</v>
      </c>
      <c r="F84" s="1">
        <v>1.3888888888888888E-5</v>
      </c>
      <c r="G84" t="s">
        <v>16</v>
      </c>
      <c r="H84">
        <v>2</v>
      </c>
      <c r="I84">
        <v>94</v>
      </c>
      <c r="J84">
        <v>96</v>
      </c>
      <c r="L84" t="s">
        <v>17</v>
      </c>
      <c r="M84" s="3">
        <f t="shared" si="28"/>
        <v>1.2189998757094145</v>
      </c>
    </row>
    <row r="85" spans="1:13" x14ac:dyDescent="0.25">
      <c r="A85" t="s">
        <v>139</v>
      </c>
      <c r="B85">
        <v>4</v>
      </c>
      <c r="C85" t="s">
        <v>57</v>
      </c>
      <c r="D85" t="s">
        <v>497</v>
      </c>
      <c r="E85" t="s">
        <v>498</v>
      </c>
      <c r="F85" s="1">
        <v>1.7361111111111111E-5</v>
      </c>
      <c r="G85" t="s">
        <v>16</v>
      </c>
      <c r="H85">
        <v>2</v>
      </c>
      <c r="I85">
        <v>94</v>
      </c>
      <c r="J85">
        <v>96</v>
      </c>
      <c r="L85" t="s">
        <v>17</v>
      </c>
      <c r="M85" s="3">
        <f t="shared" si="28"/>
        <v>1.0489997919648886</v>
      </c>
    </row>
    <row r="86" spans="1:13" x14ac:dyDescent="0.25">
      <c r="A86" t="s">
        <v>139</v>
      </c>
      <c r="B86">
        <v>5</v>
      </c>
      <c r="C86" t="s">
        <v>57</v>
      </c>
      <c r="D86" t="s">
        <v>499</v>
      </c>
      <c r="E86" t="s">
        <v>500</v>
      </c>
      <c r="F86" s="1">
        <v>1.3888888888888888E-5</v>
      </c>
      <c r="G86" t="s">
        <v>16</v>
      </c>
      <c r="H86">
        <v>2</v>
      </c>
      <c r="I86">
        <v>94</v>
      </c>
      <c r="J86">
        <v>96</v>
      </c>
      <c r="L86" t="s">
        <v>17</v>
      </c>
      <c r="M86" s="3">
        <f t="shared" si="28"/>
        <v>1.1599998688325286</v>
      </c>
    </row>
    <row r="87" spans="1:13" x14ac:dyDescent="0.25">
      <c r="A87" t="s">
        <v>139</v>
      </c>
      <c r="B87">
        <v>6</v>
      </c>
      <c r="C87" t="s">
        <v>57</v>
      </c>
      <c r="D87" t="s">
        <v>501</v>
      </c>
      <c r="E87" t="s">
        <v>502</v>
      </c>
      <c r="F87" s="1">
        <v>1.2731481481481482E-5</v>
      </c>
      <c r="G87" t="s">
        <v>16</v>
      </c>
      <c r="H87">
        <v>2</v>
      </c>
      <c r="I87">
        <v>94</v>
      </c>
      <c r="J87">
        <v>96</v>
      </c>
      <c r="L87" t="s">
        <v>17</v>
      </c>
      <c r="M87" s="3">
        <f t="shared" si="28"/>
        <v>1.1290002381429076</v>
      </c>
    </row>
    <row r="88" spans="1:13" x14ac:dyDescent="0.25">
      <c r="A88" t="s">
        <v>139</v>
      </c>
      <c r="B88">
        <v>7</v>
      </c>
      <c r="C88" t="s">
        <v>57</v>
      </c>
      <c r="D88" t="s">
        <v>503</v>
      </c>
      <c r="E88" t="s">
        <v>504</v>
      </c>
      <c r="F88" s="1">
        <v>1.1574074074074073E-5</v>
      </c>
      <c r="G88" t="s">
        <v>16</v>
      </c>
      <c r="H88">
        <v>2</v>
      </c>
      <c r="I88">
        <v>94</v>
      </c>
      <c r="J88">
        <v>96</v>
      </c>
      <c r="L88" t="s">
        <v>17</v>
      </c>
      <c r="M88" s="3">
        <f t="shared" si="28"/>
        <v>0.97599991131573915</v>
      </c>
    </row>
    <row r="89" spans="1:13" x14ac:dyDescent="0.25">
      <c r="A89" t="s">
        <v>139</v>
      </c>
      <c r="B89">
        <v>8</v>
      </c>
      <c r="C89" t="s">
        <v>57</v>
      </c>
      <c r="D89" t="s">
        <v>505</v>
      </c>
      <c r="E89" t="s">
        <v>506</v>
      </c>
      <c r="F89" s="1">
        <v>1.3888888888888888E-5</v>
      </c>
      <c r="G89" t="s">
        <v>16</v>
      </c>
      <c r="H89">
        <v>2</v>
      </c>
      <c r="I89">
        <v>94</v>
      </c>
      <c r="J89">
        <v>96</v>
      </c>
      <c r="L89" t="s">
        <v>17</v>
      </c>
      <c r="M89" s="3">
        <f t="shared" si="28"/>
        <v>1.2249996419996023</v>
      </c>
    </row>
    <row r="90" spans="1:13" x14ac:dyDescent="0.25">
      <c r="A90" t="s">
        <v>139</v>
      </c>
      <c r="B90">
        <v>9</v>
      </c>
      <c r="C90" t="s">
        <v>57</v>
      </c>
      <c r="D90" t="s">
        <v>507</v>
      </c>
      <c r="E90" t="s">
        <v>508</v>
      </c>
      <c r="F90" s="1">
        <v>1.2731481481481482E-5</v>
      </c>
      <c r="G90" t="s">
        <v>16</v>
      </c>
      <c r="H90">
        <v>2</v>
      </c>
      <c r="I90">
        <v>94</v>
      </c>
      <c r="J90">
        <v>96</v>
      </c>
      <c r="L90" t="s">
        <v>17</v>
      </c>
      <c r="M90" s="3">
        <f t="shared" si="28"/>
        <v>1.1319994926452637</v>
      </c>
    </row>
    <row r="91" spans="1:13" x14ac:dyDescent="0.25">
      <c r="A91" t="s">
        <v>139</v>
      </c>
      <c r="B91">
        <v>10</v>
      </c>
      <c r="C91" t="s">
        <v>57</v>
      </c>
      <c r="D91" t="s">
        <v>509</v>
      </c>
      <c r="E91" t="s">
        <v>510</v>
      </c>
      <c r="F91" s="1">
        <v>1.1574074074074073E-5</v>
      </c>
      <c r="G91" t="s">
        <v>16</v>
      </c>
      <c r="H91">
        <v>2</v>
      </c>
      <c r="I91">
        <v>94</v>
      </c>
      <c r="J91">
        <v>96</v>
      </c>
      <c r="L91" t="s">
        <v>17</v>
      </c>
      <c r="M91" s="3">
        <f t="shared" si="28"/>
        <v>0.96300020813941956</v>
      </c>
    </row>
    <row r="92" spans="1:13" x14ac:dyDescent="0.25">
      <c r="A92" t="s">
        <v>200</v>
      </c>
      <c r="B92">
        <v>1</v>
      </c>
      <c r="C92" t="s">
        <v>13</v>
      </c>
      <c r="D92" t="s">
        <v>511</v>
      </c>
      <c r="E92" t="s">
        <v>512</v>
      </c>
      <c r="F92" s="1">
        <v>1.5046296296296297E-5</v>
      </c>
      <c r="G92" t="s">
        <v>16</v>
      </c>
      <c r="H92">
        <v>3</v>
      </c>
      <c r="I92">
        <v>67</v>
      </c>
      <c r="J92">
        <v>70</v>
      </c>
      <c r="L92" t="s">
        <v>17</v>
      </c>
      <c r="M92" s="3">
        <f t="shared" si="28"/>
        <v>1.2980001512914896</v>
      </c>
    </row>
    <row r="93" spans="1:13" x14ac:dyDescent="0.25">
      <c r="A93" t="s">
        <v>200</v>
      </c>
      <c r="B93">
        <v>2</v>
      </c>
      <c r="C93" t="s">
        <v>13</v>
      </c>
      <c r="D93" t="s">
        <v>513</v>
      </c>
      <c r="E93" t="s">
        <v>514</v>
      </c>
      <c r="F93" s="1">
        <v>1.5046296296296297E-5</v>
      </c>
      <c r="G93" t="s">
        <v>16</v>
      </c>
      <c r="H93">
        <v>3</v>
      </c>
      <c r="I93">
        <v>67</v>
      </c>
      <c r="J93">
        <v>70</v>
      </c>
      <c r="L93" t="s">
        <v>17</v>
      </c>
      <c r="M93" s="3">
        <f t="shared" si="28"/>
        <v>1.3100003125146031</v>
      </c>
    </row>
    <row r="94" spans="1:13" x14ac:dyDescent="0.25">
      <c r="A94" t="s">
        <v>200</v>
      </c>
      <c r="B94">
        <v>3</v>
      </c>
      <c r="C94" t="s">
        <v>13</v>
      </c>
      <c r="D94" t="s">
        <v>515</v>
      </c>
      <c r="E94" t="s">
        <v>516</v>
      </c>
      <c r="F94" s="1">
        <v>1.3888888888888888E-5</v>
      </c>
      <c r="G94" t="s">
        <v>16</v>
      </c>
      <c r="H94">
        <v>3</v>
      </c>
      <c r="I94">
        <v>67</v>
      </c>
      <c r="J94">
        <v>70</v>
      </c>
      <c r="L94" t="s">
        <v>17</v>
      </c>
      <c r="M94" s="3">
        <f t="shared" si="28"/>
        <v>1.2400003150105476</v>
      </c>
    </row>
    <row r="95" spans="1:13" x14ac:dyDescent="0.25">
      <c r="A95" t="s">
        <v>200</v>
      </c>
      <c r="B95">
        <v>4</v>
      </c>
      <c r="C95" t="s">
        <v>13</v>
      </c>
      <c r="D95" t="s">
        <v>517</v>
      </c>
      <c r="E95" t="s">
        <v>518</v>
      </c>
      <c r="F95" s="1">
        <v>1.6203703703703704E-5</v>
      </c>
      <c r="G95" t="s">
        <v>16</v>
      </c>
      <c r="H95">
        <v>3</v>
      </c>
      <c r="I95">
        <v>67</v>
      </c>
      <c r="J95">
        <v>70</v>
      </c>
      <c r="L95" t="s">
        <v>17</v>
      </c>
      <c r="M95" s="3">
        <f t="shared" si="28"/>
        <v>1.3629999244585633</v>
      </c>
    </row>
    <row r="96" spans="1:13" x14ac:dyDescent="0.25">
      <c r="A96" t="s">
        <v>200</v>
      </c>
      <c r="B96">
        <v>5</v>
      </c>
      <c r="C96" t="s">
        <v>13</v>
      </c>
      <c r="D96" t="s">
        <v>519</v>
      </c>
      <c r="E96" t="s">
        <v>520</v>
      </c>
      <c r="F96" s="1">
        <v>1.2731481481481482E-5</v>
      </c>
      <c r="G96" t="s">
        <v>16</v>
      </c>
      <c r="H96">
        <v>3</v>
      </c>
      <c r="I96">
        <v>67</v>
      </c>
      <c r="J96">
        <v>70</v>
      </c>
      <c r="L96" t="s">
        <v>17</v>
      </c>
      <c r="M96" s="3">
        <f t="shared" si="28"/>
        <v>1.1100001400336623</v>
      </c>
    </row>
    <row r="97" spans="1:13" x14ac:dyDescent="0.25">
      <c r="A97" t="s">
        <v>200</v>
      </c>
      <c r="B97">
        <v>6</v>
      </c>
      <c r="C97" t="s">
        <v>13</v>
      </c>
      <c r="D97" t="s">
        <v>521</v>
      </c>
      <c r="E97" t="s">
        <v>522</v>
      </c>
      <c r="F97" s="1">
        <v>2.6620370370370369E-5</v>
      </c>
      <c r="G97" t="s">
        <v>16</v>
      </c>
      <c r="H97">
        <v>3</v>
      </c>
      <c r="I97">
        <v>67</v>
      </c>
      <c r="J97">
        <v>70</v>
      </c>
      <c r="L97" t="s">
        <v>17</v>
      </c>
      <c r="M97" s="3">
        <f t="shared" si="28"/>
        <v>2.2619999013841152</v>
      </c>
    </row>
    <row r="98" spans="1:13" x14ac:dyDescent="0.25">
      <c r="A98" t="s">
        <v>200</v>
      </c>
      <c r="B98">
        <v>7</v>
      </c>
      <c r="C98" t="s">
        <v>13</v>
      </c>
      <c r="D98" t="s">
        <v>523</v>
      </c>
      <c r="E98" t="s">
        <v>524</v>
      </c>
      <c r="F98" s="1">
        <v>1.5046296296296297E-5</v>
      </c>
      <c r="G98" t="s">
        <v>16</v>
      </c>
      <c r="H98">
        <v>3</v>
      </c>
      <c r="I98">
        <v>67</v>
      </c>
      <c r="J98">
        <v>70</v>
      </c>
      <c r="L98" t="s">
        <v>17</v>
      </c>
      <c r="M98" s="3">
        <f t="shared" si="28"/>
        <v>1.2669998919591308</v>
      </c>
    </row>
    <row r="99" spans="1:13" x14ac:dyDescent="0.25">
      <c r="A99" t="s">
        <v>200</v>
      </c>
      <c r="B99">
        <v>8</v>
      </c>
      <c r="C99" t="s">
        <v>13</v>
      </c>
      <c r="D99" t="s">
        <v>525</v>
      </c>
      <c r="E99" t="s">
        <v>526</v>
      </c>
      <c r="F99" s="1">
        <v>1.5046296296296297E-5</v>
      </c>
      <c r="G99" t="s">
        <v>16</v>
      </c>
      <c r="H99">
        <v>3</v>
      </c>
      <c r="I99">
        <v>67</v>
      </c>
      <c r="J99">
        <v>70</v>
      </c>
      <c r="L99" t="s">
        <v>17</v>
      </c>
      <c r="M99" s="3">
        <f t="shared" si="28"/>
        <v>1.2859999900683761</v>
      </c>
    </row>
    <row r="100" spans="1:13" x14ac:dyDescent="0.25">
      <c r="A100" t="s">
        <v>200</v>
      </c>
      <c r="B100">
        <v>9</v>
      </c>
      <c r="C100" t="s">
        <v>13</v>
      </c>
      <c r="D100" t="s">
        <v>527</v>
      </c>
      <c r="E100" t="s">
        <v>528</v>
      </c>
      <c r="F100" s="1">
        <v>1.5046296296296297E-5</v>
      </c>
      <c r="G100" t="s">
        <v>16</v>
      </c>
      <c r="H100">
        <v>3</v>
      </c>
      <c r="I100">
        <v>67</v>
      </c>
      <c r="J100">
        <v>70</v>
      </c>
      <c r="L100" t="s">
        <v>17</v>
      </c>
      <c r="M100" s="3">
        <f t="shared" si="28"/>
        <v>1.2729996582493186</v>
      </c>
    </row>
    <row r="101" spans="1:13" x14ac:dyDescent="0.25">
      <c r="A101" t="s">
        <v>200</v>
      </c>
      <c r="B101">
        <v>10</v>
      </c>
      <c r="C101" t="s">
        <v>13</v>
      </c>
      <c r="D101" t="s">
        <v>529</v>
      </c>
      <c r="E101" t="s">
        <v>530</v>
      </c>
      <c r="F101" s="1">
        <v>1.2731481481481482E-5</v>
      </c>
      <c r="G101" t="s">
        <v>16</v>
      </c>
      <c r="H101">
        <v>3</v>
      </c>
      <c r="I101">
        <v>67</v>
      </c>
      <c r="J101">
        <v>70</v>
      </c>
      <c r="L101" t="s">
        <v>17</v>
      </c>
      <c r="M101" s="3">
        <f t="shared" si="28"/>
        <v>1.1210001306608319</v>
      </c>
    </row>
    <row r="102" spans="1:13" x14ac:dyDescent="0.25">
      <c r="A102" t="s">
        <v>200</v>
      </c>
      <c r="B102">
        <v>1</v>
      </c>
      <c r="C102" t="s">
        <v>36</v>
      </c>
      <c r="D102" t="s">
        <v>531</v>
      </c>
      <c r="E102" t="s">
        <v>532</v>
      </c>
      <c r="F102" s="1">
        <v>1.2731481481481482E-5</v>
      </c>
      <c r="G102" t="s">
        <v>16</v>
      </c>
      <c r="H102">
        <v>3</v>
      </c>
      <c r="I102">
        <v>139</v>
      </c>
      <c r="J102">
        <v>142</v>
      </c>
      <c r="L102" t="s">
        <v>17</v>
      </c>
      <c r="M102" s="3">
        <f t="shared" si="28"/>
        <v>1.1320001212880015</v>
      </c>
    </row>
    <row r="103" spans="1:13" x14ac:dyDescent="0.25">
      <c r="A103" t="s">
        <v>200</v>
      </c>
      <c r="B103">
        <v>2</v>
      </c>
      <c r="C103" t="s">
        <v>36</v>
      </c>
      <c r="D103" t="s">
        <v>533</v>
      </c>
      <c r="E103" t="s">
        <v>534</v>
      </c>
      <c r="F103" s="1">
        <v>1.3888888888888888E-5</v>
      </c>
      <c r="G103" t="s">
        <v>16</v>
      </c>
      <c r="H103">
        <v>3</v>
      </c>
      <c r="I103">
        <v>139</v>
      </c>
      <c r="J103">
        <v>142</v>
      </c>
      <c r="L103" t="s">
        <v>17</v>
      </c>
      <c r="M103" s="3">
        <f t="shared" si="28"/>
        <v>1.1819998500868678</v>
      </c>
    </row>
    <row r="104" spans="1:13" x14ac:dyDescent="0.25">
      <c r="A104" t="s">
        <v>200</v>
      </c>
      <c r="B104">
        <v>3</v>
      </c>
      <c r="C104" t="s">
        <v>36</v>
      </c>
      <c r="D104" t="s">
        <v>535</v>
      </c>
      <c r="E104" t="s">
        <v>536</v>
      </c>
      <c r="F104" s="1">
        <v>1.2731481481481482E-5</v>
      </c>
      <c r="G104" t="s">
        <v>16</v>
      </c>
      <c r="H104">
        <v>3</v>
      </c>
      <c r="I104">
        <v>139</v>
      </c>
      <c r="J104">
        <v>142</v>
      </c>
      <c r="L104" t="s">
        <v>17</v>
      </c>
      <c r="M104" s="3">
        <f t="shared" si="28"/>
        <v>1.1060000862926245</v>
      </c>
    </row>
    <row r="105" spans="1:13" x14ac:dyDescent="0.25">
      <c r="A105" t="s">
        <v>200</v>
      </c>
      <c r="B105">
        <v>4</v>
      </c>
      <c r="C105" t="s">
        <v>36</v>
      </c>
      <c r="D105" t="s">
        <v>537</v>
      </c>
      <c r="E105" t="s">
        <v>538</v>
      </c>
      <c r="F105" s="1">
        <v>1.3888888888888888E-5</v>
      </c>
      <c r="G105" t="s">
        <v>16</v>
      </c>
      <c r="H105">
        <v>3</v>
      </c>
      <c r="I105">
        <v>139</v>
      </c>
      <c r="J105">
        <v>142</v>
      </c>
      <c r="L105" t="s">
        <v>17</v>
      </c>
      <c r="M105" s="3">
        <f t="shared" si="28"/>
        <v>1.2460000813007355</v>
      </c>
    </row>
    <row r="106" spans="1:13" x14ac:dyDescent="0.25">
      <c r="A106" t="s">
        <v>200</v>
      </c>
      <c r="B106">
        <v>5</v>
      </c>
      <c r="C106" t="s">
        <v>36</v>
      </c>
      <c r="D106" t="s">
        <v>539</v>
      </c>
      <c r="E106" t="s">
        <v>540</v>
      </c>
      <c r="F106" s="1">
        <v>1.7361111111111111E-5</v>
      </c>
      <c r="G106" t="s">
        <v>16</v>
      </c>
      <c r="H106">
        <v>3</v>
      </c>
      <c r="I106">
        <v>139</v>
      </c>
      <c r="J106">
        <v>142</v>
      </c>
      <c r="L106" t="s">
        <v>17</v>
      </c>
      <c r="M106" s="3">
        <f t="shared" si="28"/>
        <v>1.5049996320158243</v>
      </c>
    </row>
    <row r="107" spans="1:13" x14ac:dyDescent="0.25">
      <c r="A107" t="s">
        <v>200</v>
      </c>
      <c r="B107">
        <v>6</v>
      </c>
      <c r="C107" t="s">
        <v>36</v>
      </c>
      <c r="D107" t="s">
        <v>541</v>
      </c>
      <c r="E107" t="s">
        <v>542</v>
      </c>
      <c r="F107" s="1">
        <v>1.5046296296296297E-5</v>
      </c>
      <c r="G107" t="s">
        <v>16</v>
      </c>
      <c r="H107">
        <v>3</v>
      </c>
      <c r="I107">
        <v>139</v>
      </c>
      <c r="J107">
        <v>142</v>
      </c>
      <c r="L107" t="s">
        <v>17</v>
      </c>
      <c r="M107" s="3">
        <f t="shared" si="28"/>
        <v>1.2590004131197929</v>
      </c>
    </row>
    <row r="108" spans="1:13" x14ac:dyDescent="0.25">
      <c r="A108" t="s">
        <v>200</v>
      </c>
      <c r="B108">
        <v>7</v>
      </c>
      <c r="C108" t="s">
        <v>36</v>
      </c>
      <c r="D108" t="s">
        <v>543</v>
      </c>
      <c r="E108" t="s">
        <v>544</v>
      </c>
      <c r="F108" s="1">
        <v>1.3888888888888888E-5</v>
      </c>
      <c r="G108" t="s">
        <v>16</v>
      </c>
      <c r="H108">
        <v>3</v>
      </c>
      <c r="I108">
        <v>139</v>
      </c>
      <c r="J108">
        <v>142</v>
      </c>
      <c r="L108" t="s">
        <v>17</v>
      </c>
      <c r="M108" s="3">
        <f t="shared" si="28"/>
        <v>1.1770002543926239</v>
      </c>
    </row>
    <row r="109" spans="1:13" x14ac:dyDescent="0.25">
      <c r="A109" t="s">
        <v>200</v>
      </c>
      <c r="B109">
        <v>8</v>
      </c>
      <c r="C109" t="s">
        <v>36</v>
      </c>
      <c r="D109" t="s">
        <v>545</v>
      </c>
      <c r="E109" t="s">
        <v>546</v>
      </c>
      <c r="F109" s="1">
        <v>1.3888888888888888E-5</v>
      </c>
      <c r="G109" t="s">
        <v>16</v>
      </c>
      <c r="H109">
        <v>3</v>
      </c>
      <c r="I109">
        <v>139</v>
      </c>
      <c r="J109">
        <v>142</v>
      </c>
      <c r="L109" t="s">
        <v>17</v>
      </c>
      <c r="M109" s="3">
        <f t="shared" si="28"/>
        <v>1.2259998125955462</v>
      </c>
    </row>
    <row r="110" spans="1:13" x14ac:dyDescent="0.25">
      <c r="A110" t="s">
        <v>200</v>
      </c>
      <c r="B110">
        <v>9</v>
      </c>
      <c r="C110" t="s">
        <v>36</v>
      </c>
      <c r="D110" t="s">
        <v>547</v>
      </c>
      <c r="E110" t="s">
        <v>548</v>
      </c>
      <c r="F110" s="1">
        <v>1.5046296296296297E-5</v>
      </c>
      <c r="G110" t="s">
        <v>16</v>
      </c>
      <c r="H110">
        <v>3</v>
      </c>
      <c r="I110">
        <v>139</v>
      </c>
      <c r="J110">
        <v>142</v>
      </c>
      <c r="L110" t="s">
        <v>17</v>
      </c>
      <c r="M110" s="3">
        <f t="shared" si="28"/>
        <v>1.2749999994412065</v>
      </c>
    </row>
    <row r="111" spans="1:13" x14ac:dyDescent="0.25">
      <c r="A111" t="s">
        <v>200</v>
      </c>
      <c r="B111">
        <v>10</v>
      </c>
      <c r="C111" t="s">
        <v>36</v>
      </c>
      <c r="D111" t="s">
        <v>549</v>
      </c>
      <c r="E111" t="s">
        <v>550</v>
      </c>
      <c r="F111" s="1">
        <v>2.8935185185185186E-5</v>
      </c>
      <c r="G111" t="s">
        <v>16</v>
      </c>
      <c r="H111">
        <v>3</v>
      </c>
      <c r="I111">
        <v>139</v>
      </c>
      <c r="J111">
        <v>142</v>
      </c>
      <c r="L111" t="s">
        <v>17</v>
      </c>
      <c r="M111" s="3">
        <f t="shared" si="28"/>
        <v>2.5370002957060933</v>
      </c>
    </row>
    <row r="112" spans="1:13" x14ac:dyDescent="0.25">
      <c r="A112" t="s">
        <v>200</v>
      </c>
      <c r="B112">
        <v>1</v>
      </c>
      <c r="C112" t="s">
        <v>57</v>
      </c>
      <c r="D112" t="s">
        <v>551</v>
      </c>
      <c r="E112" t="s">
        <v>552</v>
      </c>
      <c r="F112" s="1">
        <v>1.5046296296296297E-5</v>
      </c>
      <c r="G112" t="s">
        <v>16</v>
      </c>
      <c r="H112">
        <v>3</v>
      </c>
      <c r="I112">
        <v>101</v>
      </c>
      <c r="J112">
        <v>104</v>
      </c>
      <c r="L112" t="s">
        <v>17</v>
      </c>
      <c r="M112" s="3">
        <f t="shared" si="28"/>
        <v>1.2690002331510186</v>
      </c>
    </row>
    <row r="113" spans="1:13" x14ac:dyDescent="0.25">
      <c r="A113" t="s">
        <v>200</v>
      </c>
      <c r="B113">
        <v>2</v>
      </c>
      <c r="C113" t="s">
        <v>57</v>
      </c>
      <c r="D113" t="s">
        <v>553</v>
      </c>
      <c r="E113" t="s">
        <v>554</v>
      </c>
      <c r="F113" s="1">
        <v>1.3888888888888888E-5</v>
      </c>
      <c r="G113" t="s">
        <v>16</v>
      </c>
      <c r="H113">
        <v>3</v>
      </c>
      <c r="I113">
        <v>101</v>
      </c>
      <c r="J113">
        <v>104</v>
      </c>
      <c r="L113" t="s">
        <v>17</v>
      </c>
      <c r="M113" s="3">
        <f t="shared" si="28"/>
        <v>1.2370004318654537</v>
      </c>
    </row>
    <row r="114" spans="1:13" x14ac:dyDescent="0.25">
      <c r="A114" t="s">
        <v>200</v>
      </c>
      <c r="B114">
        <v>3</v>
      </c>
      <c r="C114" t="s">
        <v>57</v>
      </c>
      <c r="D114" t="s">
        <v>555</v>
      </c>
      <c r="E114" t="s">
        <v>556</v>
      </c>
      <c r="F114" s="1">
        <v>1.3888888888888888E-5</v>
      </c>
      <c r="G114" t="s">
        <v>16</v>
      </c>
      <c r="H114">
        <v>3</v>
      </c>
      <c r="I114">
        <v>101</v>
      </c>
      <c r="J114">
        <v>104</v>
      </c>
      <c r="L114" t="s">
        <v>17</v>
      </c>
      <c r="M114" s="3">
        <f t="shared" si="28"/>
        <v>1.1559998150914907</v>
      </c>
    </row>
    <row r="115" spans="1:13" x14ac:dyDescent="0.25">
      <c r="A115" t="s">
        <v>200</v>
      </c>
      <c r="B115">
        <v>4</v>
      </c>
      <c r="C115" t="s">
        <v>57</v>
      </c>
      <c r="D115" t="s">
        <v>557</v>
      </c>
      <c r="E115" t="s">
        <v>558</v>
      </c>
      <c r="F115" s="1">
        <v>1.3888888888888888E-5</v>
      </c>
      <c r="G115" t="s">
        <v>16</v>
      </c>
      <c r="H115">
        <v>3</v>
      </c>
      <c r="I115">
        <v>101</v>
      </c>
      <c r="J115">
        <v>104</v>
      </c>
      <c r="L115" t="s">
        <v>17</v>
      </c>
      <c r="M115" s="3">
        <f t="shared" si="28"/>
        <v>1.2350000906735659</v>
      </c>
    </row>
    <row r="116" spans="1:13" x14ac:dyDescent="0.25">
      <c r="A116" t="s">
        <v>200</v>
      </c>
      <c r="B116">
        <v>5</v>
      </c>
      <c r="C116" t="s">
        <v>57</v>
      </c>
      <c r="D116" t="s">
        <v>559</v>
      </c>
      <c r="E116" t="s">
        <v>560</v>
      </c>
      <c r="F116" s="1">
        <v>1.2731481481481482E-5</v>
      </c>
      <c r="G116" t="s">
        <v>16</v>
      </c>
      <c r="H116">
        <v>3</v>
      </c>
      <c r="I116">
        <v>101</v>
      </c>
      <c r="J116">
        <v>104</v>
      </c>
      <c r="L116" t="s">
        <v>17</v>
      </c>
      <c r="M116" s="3">
        <f t="shared" si="28"/>
        <v>1.1229998432099819</v>
      </c>
    </row>
    <row r="117" spans="1:13" x14ac:dyDescent="0.25">
      <c r="A117" t="s">
        <v>200</v>
      </c>
      <c r="B117">
        <v>6</v>
      </c>
      <c r="C117" t="s">
        <v>57</v>
      </c>
      <c r="D117" t="s">
        <v>561</v>
      </c>
      <c r="E117" t="s">
        <v>562</v>
      </c>
      <c r="F117" s="1">
        <v>1.2731481481481482E-5</v>
      </c>
      <c r="G117" t="s">
        <v>16</v>
      </c>
      <c r="H117">
        <v>3</v>
      </c>
      <c r="I117">
        <v>101</v>
      </c>
      <c r="J117">
        <v>104</v>
      </c>
      <c r="L117" t="s">
        <v>17</v>
      </c>
      <c r="M117" s="3">
        <f t="shared" si="28"/>
        <v>1.1419999413192272</v>
      </c>
    </row>
    <row r="118" spans="1:13" x14ac:dyDescent="0.25">
      <c r="A118" t="s">
        <v>200</v>
      </c>
      <c r="B118">
        <v>7</v>
      </c>
      <c r="C118" t="s">
        <v>57</v>
      </c>
      <c r="D118" t="s">
        <v>563</v>
      </c>
      <c r="E118" t="s">
        <v>564</v>
      </c>
      <c r="F118" s="1">
        <v>1.3888888888888888E-5</v>
      </c>
      <c r="G118" t="s">
        <v>16</v>
      </c>
      <c r="H118">
        <v>3</v>
      </c>
      <c r="I118">
        <v>101</v>
      </c>
      <c r="J118">
        <v>104</v>
      </c>
      <c r="L118" t="s">
        <v>17</v>
      </c>
      <c r="M118" s="3">
        <f t="shared" si="28"/>
        <v>1.1679999763146043</v>
      </c>
    </row>
    <row r="119" spans="1:13" x14ac:dyDescent="0.25">
      <c r="A119" t="s">
        <v>200</v>
      </c>
      <c r="B119">
        <v>8</v>
      </c>
      <c r="C119" t="s">
        <v>57</v>
      </c>
      <c r="D119" t="s">
        <v>565</v>
      </c>
      <c r="E119" t="s">
        <v>566</v>
      </c>
      <c r="F119" s="1">
        <v>1.7361111111111111E-5</v>
      </c>
      <c r="G119" t="s">
        <v>16</v>
      </c>
      <c r="H119">
        <v>3</v>
      </c>
      <c r="I119">
        <v>101</v>
      </c>
      <c r="J119">
        <v>104</v>
      </c>
      <c r="L119" t="s">
        <v>17</v>
      </c>
      <c r="M119" s="3">
        <f t="shared" si="28"/>
        <v>1.4939996413886547</v>
      </c>
    </row>
    <row r="120" spans="1:13" x14ac:dyDescent="0.25">
      <c r="A120" t="s">
        <v>200</v>
      </c>
      <c r="B120">
        <v>9</v>
      </c>
      <c r="C120" t="s">
        <v>57</v>
      </c>
      <c r="D120" t="s">
        <v>567</v>
      </c>
      <c r="E120" t="s">
        <v>568</v>
      </c>
      <c r="F120" s="1">
        <v>1.2731481481481482E-5</v>
      </c>
      <c r="G120" t="s">
        <v>16</v>
      </c>
      <c r="H120">
        <v>3</v>
      </c>
      <c r="I120">
        <v>101</v>
      </c>
      <c r="J120">
        <v>104</v>
      </c>
      <c r="L120" t="s">
        <v>17</v>
      </c>
      <c r="M120" s="3">
        <f t="shared" si="28"/>
        <v>1.1350000044330955</v>
      </c>
    </row>
    <row r="121" spans="1:13" x14ac:dyDescent="0.25">
      <c r="A121" t="s">
        <v>200</v>
      </c>
      <c r="B121">
        <v>10</v>
      </c>
      <c r="C121" t="s">
        <v>57</v>
      </c>
      <c r="D121" t="s">
        <v>569</v>
      </c>
      <c r="E121" t="s">
        <v>570</v>
      </c>
      <c r="F121" s="1">
        <v>2.3148148148148147E-5</v>
      </c>
      <c r="G121" t="s">
        <v>16</v>
      </c>
      <c r="H121">
        <v>3</v>
      </c>
      <c r="I121">
        <v>101</v>
      </c>
      <c r="J121">
        <v>104</v>
      </c>
      <c r="L121" t="s">
        <v>17</v>
      </c>
      <c r="M121" s="3">
        <f t="shared" si="28"/>
        <v>1.0990001494064927</v>
      </c>
    </row>
    <row r="122" spans="1:13" x14ac:dyDescent="0.25">
      <c r="A122" t="s">
        <v>261</v>
      </c>
      <c r="B122">
        <v>1</v>
      </c>
      <c r="C122" t="s">
        <v>13</v>
      </c>
      <c r="D122" t="s">
        <v>571</v>
      </c>
      <c r="E122" t="s">
        <v>572</v>
      </c>
      <c r="F122" s="1">
        <v>2.0833333333333333E-5</v>
      </c>
      <c r="G122" t="s">
        <v>16</v>
      </c>
      <c r="H122">
        <v>3</v>
      </c>
      <c r="I122">
        <v>91</v>
      </c>
      <c r="J122">
        <v>94</v>
      </c>
      <c r="L122" t="s">
        <v>17</v>
      </c>
      <c r="M122" s="3">
        <f t="shared" si="28"/>
        <v>1.8049998907372355</v>
      </c>
    </row>
    <row r="123" spans="1:13" x14ac:dyDescent="0.25">
      <c r="A123" t="s">
        <v>261</v>
      </c>
      <c r="B123">
        <v>2</v>
      </c>
      <c r="C123" t="s">
        <v>13</v>
      </c>
      <c r="D123" t="s">
        <v>573</v>
      </c>
      <c r="E123" t="s">
        <v>574</v>
      </c>
      <c r="F123" s="1">
        <v>1.6203703703703704E-5</v>
      </c>
      <c r="G123" t="s">
        <v>16</v>
      </c>
      <c r="H123">
        <v>3</v>
      </c>
      <c r="I123">
        <v>91</v>
      </c>
      <c r="J123">
        <v>94</v>
      </c>
      <c r="L123" t="s">
        <v>17</v>
      </c>
      <c r="M123" s="3">
        <f t="shared" si="28"/>
        <v>1.4439999125897884</v>
      </c>
    </row>
    <row r="124" spans="1:13" x14ac:dyDescent="0.25">
      <c r="A124" t="s">
        <v>261</v>
      </c>
      <c r="B124">
        <v>3</v>
      </c>
      <c r="C124" t="s">
        <v>13</v>
      </c>
      <c r="D124" t="s">
        <v>575</v>
      </c>
      <c r="E124" t="s">
        <v>576</v>
      </c>
      <c r="F124" s="1">
        <v>1.7361111111111111E-5</v>
      </c>
      <c r="G124" t="s">
        <v>16</v>
      </c>
      <c r="H124">
        <v>3</v>
      </c>
      <c r="I124">
        <v>91</v>
      </c>
      <c r="J124">
        <v>94</v>
      </c>
      <c r="L124" t="s">
        <v>17</v>
      </c>
      <c r="M124" s="3">
        <f t="shared" si="28"/>
        <v>1.5439999988302588</v>
      </c>
    </row>
    <row r="125" spans="1:13" x14ac:dyDescent="0.25">
      <c r="A125" t="s">
        <v>261</v>
      </c>
      <c r="B125">
        <v>4</v>
      </c>
      <c r="C125" t="s">
        <v>13</v>
      </c>
      <c r="D125" t="s">
        <v>577</v>
      </c>
      <c r="E125" t="s">
        <v>578</v>
      </c>
      <c r="F125" s="1">
        <v>1.6203703703703704E-5</v>
      </c>
      <c r="G125" t="s">
        <v>16</v>
      </c>
      <c r="H125">
        <v>3</v>
      </c>
      <c r="I125">
        <v>91</v>
      </c>
      <c r="J125">
        <v>94</v>
      </c>
      <c r="L125" t="s">
        <v>17</v>
      </c>
      <c r="M125" s="3">
        <f t="shared" si="28"/>
        <v>1.4410000294446945</v>
      </c>
    </row>
    <row r="126" spans="1:13" x14ac:dyDescent="0.25">
      <c r="A126" t="s">
        <v>261</v>
      </c>
      <c r="B126">
        <v>5</v>
      </c>
      <c r="C126" t="s">
        <v>13</v>
      </c>
      <c r="D126" t="s">
        <v>579</v>
      </c>
      <c r="E126" t="s">
        <v>580</v>
      </c>
      <c r="F126" s="1">
        <v>2.0833333333333333E-5</v>
      </c>
      <c r="G126" t="s">
        <v>16</v>
      </c>
      <c r="H126">
        <v>3</v>
      </c>
      <c r="I126">
        <v>91</v>
      </c>
      <c r="J126">
        <v>94</v>
      </c>
      <c r="L126" t="s">
        <v>17</v>
      </c>
      <c r="M126" s="3">
        <f t="shared" si="28"/>
        <v>1.7960002413019538</v>
      </c>
    </row>
    <row r="127" spans="1:13" x14ac:dyDescent="0.25">
      <c r="A127" t="s">
        <v>261</v>
      </c>
      <c r="B127">
        <v>6</v>
      </c>
      <c r="C127" t="s">
        <v>13</v>
      </c>
      <c r="D127" t="s">
        <v>581</v>
      </c>
      <c r="E127" t="s">
        <v>582</v>
      </c>
      <c r="F127" s="1">
        <v>1.6203703703703704E-5</v>
      </c>
      <c r="G127" t="s">
        <v>16</v>
      </c>
      <c r="H127">
        <v>3</v>
      </c>
      <c r="I127">
        <v>91</v>
      </c>
      <c r="J127">
        <v>94</v>
      </c>
      <c r="L127" t="s">
        <v>17</v>
      </c>
      <c r="M127" s="3">
        <f t="shared" si="28"/>
        <v>1.4159995364025235</v>
      </c>
    </row>
    <row r="128" spans="1:13" x14ac:dyDescent="0.25">
      <c r="A128" t="s">
        <v>261</v>
      </c>
      <c r="B128">
        <v>7</v>
      </c>
      <c r="C128" t="s">
        <v>13</v>
      </c>
      <c r="D128" t="s">
        <v>583</v>
      </c>
      <c r="E128" t="s">
        <v>584</v>
      </c>
      <c r="F128" s="1">
        <v>2.0833333333333333E-5</v>
      </c>
      <c r="G128" t="s">
        <v>16</v>
      </c>
      <c r="H128">
        <v>3</v>
      </c>
      <c r="I128">
        <v>91</v>
      </c>
      <c r="J128">
        <v>94</v>
      </c>
      <c r="L128" t="s">
        <v>17</v>
      </c>
      <c r="M128" s="3">
        <f t="shared" si="28"/>
        <v>1.791000016964972</v>
      </c>
    </row>
    <row r="129" spans="1:13" x14ac:dyDescent="0.25">
      <c r="A129" t="s">
        <v>261</v>
      </c>
      <c r="B129">
        <v>8</v>
      </c>
      <c r="C129" t="s">
        <v>13</v>
      </c>
      <c r="D129" t="s">
        <v>585</v>
      </c>
      <c r="E129" t="s">
        <v>586</v>
      </c>
      <c r="F129" s="1">
        <v>1.7361111111111111E-5</v>
      </c>
      <c r="G129" t="s">
        <v>16</v>
      </c>
      <c r="H129">
        <v>3</v>
      </c>
      <c r="I129">
        <v>91</v>
      </c>
      <c r="J129">
        <v>94</v>
      </c>
      <c r="L129" t="s">
        <v>17</v>
      </c>
      <c r="M129" s="3">
        <f t="shared" si="28"/>
        <v>1.4710001181811094</v>
      </c>
    </row>
    <row r="130" spans="1:13" x14ac:dyDescent="0.25">
      <c r="A130" t="s">
        <v>261</v>
      </c>
      <c r="B130">
        <v>9</v>
      </c>
      <c r="C130" t="s">
        <v>13</v>
      </c>
      <c r="D130" t="s">
        <v>587</v>
      </c>
      <c r="E130" t="s">
        <v>588</v>
      </c>
      <c r="F130" s="1">
        <v>1.7361111111111111E-5</v>
      </c>
      <c r="G130" t="s">
        <v>16</v>
      </c>
      <c r="H130">
        <v>3</v>
      </c>
      <c r="I130">
        <v>91</v>
      </c>
      <c r="J130">
        <v>94</v>
      </c>
      <c r="L130" t="s">
        <v>17</v>
      </c>
      <c r="M130" s="3">
        <f t="shared" si="28"/>
        <v>1.4680002350360155</v>
      </c>
    </row>
    <row r="131" spans="1:13" x14ac:dyDescent="0.25">
      <c r="A131" t="s">
        <v>261</v>
      </c>
      <c r="B131">
        <v>10</v>
      </c>
      <c r="C131" t="s">
        <v>13</v>
      </c>
      <c r="D131" t="s">
        <v>589</v>
      </c>
      <c r="E131" t="s">
        <v>590</v>
      </c>
      <c r="F131" s="1">
        <v>1.7361111111111111E-5</v>
      </c>
      <c r="G131" t="s">
        <v>16</v>
      </c>
      <c r="H131">
        <v>3</v>
      </c>
      <c r="I131">
        <v>91</v>
      </c>
      <c r="J131">
        <v>94</v>
      </c>
      <c r="L131" t="s">
        <v>17</v>
      </c>
      <c r="M131" s="3">
        <f t="shared" ref="M131:M194" si="29">(SUBSTITUTE(LEFT(E131,23),"T"," ")-SUBSTITUTE(LEFT(D131,23),"T"," "))*86400</f>
        <v>1.4980003237724304</v>
      </c>
    </row>
    <row r="132" spans="1:13" x14ac:dyDescent="0.25">
      <c r="A132" t="s">
        <v>261</v>
      </c>
      <c r="B132">
        <v>1</v>
      </c>
      <c r="C132" t="s">
        <v>36</v>
      </c>
      <c r="D132" t="s">
        <v>591</v>
      </c>
      <c r="E132" t="s">
        <v>592</v>
      </c>
      <c r="F132" s="1">
        <v>1.6203703703703704E-5</v>
      </c>
      <c r="G132" t="s">
        <v>16</v>
      </c>
      <c r="H132">
        <v>3</v>
      </c>
      <c r="I132">
        <v>164</v>
      </c>
      <c r="J132">
        <v>167</v>
      </c>
      <c r="L132" t="s">
        <v>17</v>
      </c>
      <c r="M132" s="3">
        <f t="shared" si="29"/>
        <v>1.425000443123281</v>
      </c>
    </row>
    <row r="133" spans="1:13" x14ac:dyDescent="0.25">
      <c r="A133" t="s">
        <v>261</v>
      </c>
      <c r="B133">
        <v>2</v>
      </c>
      <c r="C133" t="s">
        <v>36</v>
      </c>
      <c r="D133" t="s">
        <v>593</v>
      </c>
      <c r="E133" t="s">
        <v>594</v>
      </c>
      <c r="F133" s="1">
        <v>1.6203703703703704E-5</v>
      </c>
      <c r="G133" t="s">
        <v>16</v>
      </c>
      <c r="H133">
        <v>3</v>
      </c>
      <c r="I133">
        <v>164</v>
      </c>
      <c r="J133">
        <v>167</v>
      </c>
      <c r="L133" t="s">
        <v>17</v>
      </c>
      <c r="M133" s="3">
        <f t="shared" si="29"/>
        <v>1.3959998963400722</v>
      </c>
    </row>
    <row r="134" spans="1:13" x14ac:dyDescent="0.25">
      <c r="A134" t="s">
        <v>261</v>
      </c>
      <c r="B134">
        <v>3</v>
      </c>
      <c r="C134" t="s">
        <v>36</v>
      </c>
      <c r="D134" t="s">
        <v>595</v>
      </c>
      <c r="E134" t="s">
        <v>596</v>
      </c>
      <c r="F134" s="1">
        <v>1.6203703703703704E-5</v>
      </c>
      <c r="G134" t="s">
        <v>16</v>
      </c>
      <c r="H134">
        <v>3</v>
      </c>
      <c r="I134">
        <v>164</v>
      </c>
      <c r="J134">
        <v>167</v>
      </c>
      <c r="L134" t="s">
        <v>17</v>
      </c>
      <c r="M134" s="3">
        <f t="shared" si="29"/>
        <v>1.4399998588487506</v>
      </c>
    </row>
    <row r="135" spans="1:13" x14ac:dyDescent="0.25">
      <c r="A135" t="s">
        <v>261</v>
      </c>
      <c r="B135">
        <v>4</v>
      </c>
      <c r="C135" t="s">
        <v>36</v>
      </c>
      <c r="D135" t="s">
        <v>597</v>
      </c>
      <c r="E135" t="s">
        <v>598</v>
      </c>
      <c r="F135" s="1">
        <v>1.6203703703703704E-5</v>
      </c>
      <c r="G135" t="s">
        <v>16</v>
      </c>
      <c r="H135">
        <v>3</v>
      </c>
      <c r="I135">
        <v>164</v>
      </c>
      <c r="J135">
        <v>167</v>
      </c>
      <c r="L135" t="s">
        <v>17</v>
      </c>
      <c r="M135" s="3">
        <f t="shared" si="29"/>
        <v>1.4209997607395053</v>
      </c>
    </row>
    <row r="136" spans="1:13" x14ac:dyDescent="0.25">
      <c r="A136" t="s">
        <v>261</v>
      </c>
      <c r="B136">
        <v>5</v>
      </c>
      <c r="C136" t="s">
        <v>36</v>
      </c>
      <c r="D136" t="s">
        <v>599</v>
      </c>
      <c r="E136" t="s">
        <v>600</v>
      </c>
      <c r="F136" s="1">
        <v>2.0833333333333333E-5</v>
      </c>
      <c r="G136" t="s">
        <v>16</v>
      </c>
      <c r="H136">
        <v>3</v>
      </c>
      <c r="I136">
        <v>164</v>
      </c>
      <c r="J136">
        <v>167</v>
      </c>
      <c r="L136" t="s">
        <v>17</v>
      </c>
      <c r="M136" s="3">
        <f t="shared" si="29"/>
        <v>1.7730000894516706</v>
      </c>
    </row>
    <row r="137" spans="1:13" x14ac:dyDescent="0.25">
      <c r="A137" t="s">
        <v>261</v>
      </c>
      <c r="B137">
        <v>6</v>
      </c>
      <c r="C137" t="s">
        <v>36</v>
      </c>
      <c r="D137" t="s">
        <v>601</v>
      </c>
      <c r="E137" t="s">
        <v>602</v>
      </c>
      <c r="F137" s="1">
        <v>2.199074074074074E-5</v>
      </c>
      <c r="G137" t="s">
        <v>16</v>
      </c>
      <c r="H137">
        <v>3</v>
      </c>
      <c r="I137">
        <v>164</v>
      </c>
      <c r="J137">
        <v>167</v>
      </c>
      <c r="L137" t="s">
        <v>17</v>
      </c>
      <c r="M137" s="3">
        <f t="shared" si="29"/>
        <v>1.8700002925470471</v>
      </c>
    </row>
    <row r="138" spans="1:13" x14ac:dyDescent="0.25">
      <c r="A138" t="s">
        <v>261</v>
      </c>
      <c r="B138">
        <v>7</v>
      </c>
      <c r="C138" t="s">
        <v>36</v>
      </c>
      <c r="D138" t="s">
        <v>603</v>
      </c>
      <c r="E138" t="s">
        <v>604</v>
      </c>
      <c r="F138" s="1">
        <v>2.4305555555555558E-5</v>
      </c>
      <c r="G138" t="s">
        <v>16</v>
      </c>
      <c r="H138">
        <v>3</v>
      </c>
      <c r="I138">
        <v>164</v>
      </c>
      <c r="J138">
        <v>167</v>
      </c>
      <c r="L138" t="s">
        <v>17</v>
      </c>
      <c r="M138" s="3">
        <f t="shared" si="29"/>
        <v>2.1099997451528907</v>
      </c>
    </row>
    <row r="139" spans="1:13" x14ac:dyDescent="0.25">
      <c r="A139" t="s">
        <v>261</v>
      </c>
      <c r="B139">
        <v>8</v>
      </c>
      <c r="C139" t="s">
        <v>36</v>
      </c>
      <c r="D139" t="s">
        <v>605</v>
      </c>
      <c r="E139" t="s">
        <v>606</v>
      </c>
      <c r="F139" s="1">
        <v>1.6203703703703704E-5</v>
      </c>
      <c r="G139" t="s">
        <v>16</v>
      </c>
      <c r="H139">
        <v>3</v>
      </c>
      <c r="I139">
        <v>164</v>
      </c>
      <c r="J139">
        <v>167</v>
      </c>
      <c r="L139" t="s">
        <v>17</v>
      </c>
      <c r="M139" s="3">
        <f t="shared" si="29"/>
        <v>1.3600000413134694</v>
      </c>
    </row>
    <row r="140" spans="1:13" x14ac:dyDescent="0.25">
      <c r="A140" t="s">
        <v>261</v>
      </c>
      <c r="B140">
        <v>9</v>
      </c>
      <c r="C140" t="s">
        <v>36</v>
      </c>
      <c r="D140" t="s">
        <v>607</v>
      </c>
      <c r="E140" t="s">
        <v>608</v>
      </c>
      <c r="F140" s="1">
        <v>1.5046296296296297E-5</v>
      </c>
      <c r="G140" t="s">
        <v>16</v>
      </c>
      <c r="H140">
        <v>3</v>
      </c>
      <c r="I140">
        <v>164</v>
      </c>
      <c r="J140">
        <v>167</v>
      </c>
      <c r="L140" t="s">
        <v>17</v>
      </c>
      <c r="M140" s="3">
        <f t="shared" si="29"/>
        <v>1.2830001069232821</v>
      </c>
    </row>
    <row r="141" spans="1:13" x14ac:dyDescent="0.25">
      <c r="A141" t="s">
        <v>261</v>
      </c>
      <c r="B141">
        <v>10</v>
      </c>
      <c r="C141" t="s">
        <v>36</v>
      </c>
      <c r="D141" t="s">
        <v>609</v>
      </c>
      <c r="E141" t="s">
        <v>610</v>
      </c>
      <c r="F141" s="1">
        <v>1.3888888888888888E-5</v>
      </c>
      <c r="G141" t="s">
        <v>16</v>
      </c>
      <c r="H141">
        <v>3</v>
      </c>
      <c r="I141">
        <v>164</v>
      </c>
      <c r="J141">
        <v>167</v>
      </c>
      <c r="L141" t="s">
        <v>17</v>
      </c>
      <c r="M141" s="3">
        <f t="shared" si="29"/>
        <v>1.1879996163770556</v>
      </c>
    </row>
    <row r="142" spans="1:13" x14ac:dyDescent="0.25">
      <c r="A142" t="s">
        <v>261</v>
      </c>
      <c r="B142">
        <v>1</v>
      </c>
      <c r="C142" t="s">
        <v>57</v>
      </c>
      <c r="D142" t="s">
        <v>611</v>
      </c>
      <c r="E142" t="s">
        <v>612</v>
      </c>
      <c r="F142" s="1">
        <v>3.2407407407407408E-5</v>
      </c>
      <c r="G142" t="s">
        <v>16</v>
      </c>
      <c r="H142">
        <v>3</v>
      </c>
      <c r="I142">
        <v>125</v>
      </c>
      <c r="J142">
        <v>128</v>
      </c>
      <c r="L142" t="s">
        <v>17</v>
      </c>
      <c r="M142" s="3">
        <f t="shared" si="29"/>
        <v>2.8479999164119363</v>
      </c>
    </row>
    <row r="143" spans="1:13" x14ac:dyDescent="0.25">
      <c r="A143" t="s">
        <v>261</v>
      </c>
      <c r="B143">
        <v>2</v>
      </c>
      <c r="C143" t="s">
        <v>57</v>
      </c>
      <c r="D143" t="s">
        <v>613</v>
      </c>
      <c r="E143" t="s">
        <v>614</v>
      </c>
      <c r="F143" s="1">
        <v>2.0833333333333333E-5</v>
      </c>
      <c r="G143" t="s">
        <v>16</v>
      </c>
      <c r="H143">
        <v>3</v>
      </c>
      <c r="I143">
        <v>125</v>
      </c>
      <c r="J143">
        <v>128</v>
      </c>
      <c r="L143" t="s">
        <v>17</v>
      </c>
      <c r="M143" s="3">
        <f t="shared" si="29"/>
        <v>1.8140001688152552</v>
      </c>
    </row>
    <row r="144" spans="1:13" x14ac:dyDescent="0.25">
      <c r="A144" t="s">
        <v>261</v>
      </c>
      <c r="B144">
        <v>3</v>
      </c>
      <c r="C144" t="s">
        <v>57</v>
      </c>
      <c r="D144" t="s">
        <v>615</v>
      </c>
      <c r="E144" t="s">
        <v>616</v>
      </c>
      <c r="F144" s="1">
        <v>3.7037037037037037E-5</v>
      </c>
      <c r="G144" t="s">
        <v>16</v>
      </c>
      <c r="H144">
        <v>3</v>
      </c>
      <c r="I144">
        <v>125</v>
      </c>
      <c r="J144">
        <v>128</v>
      </c>
      <c r="L144" t="s">
        <v>17</v>
      </c>
      <c r="M144" s="3">
        <f t="shared" si="29"/>
        <v>3.164999932050705</v>
      </c>
    </row>
    <row r="145" spans="1:13" x14ac:dyDescent="0.25">
      <c r="A145" t="s">
        <v>261</v>
      </c>
      <c r="B145">
        <v>4</v>
      </c>
      <c r="C145" t="s">
        <v>57</v>
      </c>
      <c r="D145" t="s">
        <v>617</v>
      </c>
      <c r="E145" t="s">
        <v>618</v>
      </c>
      <c r="F145" s="1">
        <v>4.2824074074074079E-5</v>
      </c>
      <c r="G145" t="s">
        <v>16</v>
      </c>
      <c r="H145">
        <v>3</v>
      </c>
      <c r="I145">
        <v>125</v>
      </c>
      <c r="J145">
        <v>128</v>
      </c>
      <c r="L145" t="s">
        <v>17</v>
      </c>
      <c r="M145" s="3">
        <f t="shared" si="29"/>
        <v>3.697999706491828</v>
      </c>
    </row>
    <row r="146" spans="1:13" x14ac:dyDescent="0.25">
      <c r="A146" t="s">
        <v>261</v>
      </c>
      <c r="B146">
        <v>5</v>
      </c>
      <c r="C146" t="s">
        <v>57</v>
      </c>
      <c r="D146" t="s">
        <v>619</v>
      </c>
      <c r="E146" t="s">
        <v>620</v>
      </c>
      <c r="F146" s="1">
        <v>2.0833333333333333E-5</v>
      </c>
      <c r="G146" t="s">
        <v>16</v>
      </c>
      <c r="H146">
        <v>3</v>
      </c>
      <c r="I146">
        <v>125</v>
      </c>
      <c r="J146">
        <v>128</v>
      </c>
      <c r="L146" t="s">
        <v>17</v>
      </c>
      <c r="M146" s="3">
        <f t="shared" si="29"/>
        <v>1.764999981969595</v>
      </c>
    </row>
    <row r="147" spans="1:13" x14ac:dyDescent="0.25">
      <c r="A147" t="s">
        <v>261</v>
      </c>
      <c r="B147">
        <v>6</v>
      </c>
      <c r="C147" t="s">
        <v>57</v>
      </c>
      <c r="D147" t="s">
        <v>621</v>
      </c>
      <c r="E147" t="s">
        <v>622</v>
      </c>
      <c r="F147" s="1">
        <v>2.199074074074074E-5</v>
      </c>
      <c r="G147" t="s">
        <v>16</v>
      </c>
      <c r="H147">
        <v>3</v>
      </c>
      <c r="I147">
        <v>125</v>
      </c>
      <c r="J147">
        <v>128</v>
      </c>
      <c r="L147" t="s">
        <v>17</v>
      </c>
      <c r="M147" s="3">
        <f t="shared" si="29"/>
        <v>1.8710004631429911</v>
      </c>
    </row>
    <row r="148" spans="1:13" x14ac:dyDescent="0.25">
      <c r="A148" t="s">
        <v>261</v>
      </c>
      <c r="B148">
        <v>7</v>
      </c>
      <c r="C148" t="s">
        <v>57</v>
      </c>
      <c r="D148" t="s">
        <v>623</v>
      </c>
      <c r="E148" t="s">
        <v>624</v>
      </c>
      <c r="F148" s="1">
        <v>1.9675925925925925E-5</v>
      </c>
      <c r="G148" t="s">
        <v>16</v>
      </c>
      <c r="H148">
        <v>3</v>
      </c>
      <c r="I148">
        <v>125</v>
      </c>
      <c r="J148">
        <v>128</v>
      </c>
      <c r="L148" t="s">
        <v>17</v>
      </c>
      <c r="M148" s="3">
        <f t="shared" si="29"/>
        <v>1.7409996595233679</v>
      </c>
    </row>
    <row r="149" spans="1:13" x14ac:dyDescent="0.25">
      <c r="A149" t="s">
        <v>261</v>
      </c>
      <c r="B149">
        <v>8</v>
      </c>
      <c r="C149" t="s">
        <v>57</v>
      </c>
      <c r="D149" t="s">
        <v>625</v>
      </c>
      <c r="E149" t="s">
        <v>626</v>
      </c>
      <c r="F149" s="1">
        <v>1.6203703703703704E-5</v>
      </c>
      <c r="G149" t="s">
        <v>16</v>
      </c>
      <c r="H149">
        <v>3</v>
      </c>
      <c r="I149">
        <v>125</v>
      </c>
      <c r="J149">
        <v>128</v>
      </c>
      <c r="L149" t="s">
        <v>17</v>
      </c>
      <c r="M149" s="3">
        <f t="shared" si="29"/>
        <v>1.4020002912729979</v>
      </c>
    </row>
    <row r="150" spans="1:13" x14ac:dyDescent="0.25">
      <c r="A150" t="s">
        <v>261</v>
      </c>
      <c r="B150">
        <v>9</v>
      </c>
      <c r="C150" t="s">
        <v>57</v>
      </c>
      <c r="D150" t="s">
        <v>627</v>
      </c>
      <c r="E150" t="s">
        <v>628</v>
      </c>
      <c r="F150" s="1">
        <v>1.3888888888888888E-5</v>
      </c>
      <c r="G150" t="s">
        <v>16</v>
      </c>
      <c r="H150">
        <v>3</v>
      </c>
      <c r="I150">
        <v>125</v>
      </c>
      <c r="J150">
        <v>128</v>
      </c>
      <c r="L150" t="s">
        <v>17</v>
      </c>
      <c r="M150" s="3">
        <f t="shared" si="29"/>
        <v>1.1950001819059253</v>
      </c>
    </row>
    <row r="151" spans="1:13" x14ac:dyDescent="0.25">
      <c r="A151" t="s">
        <v>261</v>
      </c>
      <c r="B151">
        <v>10</v>
      </c>
      <c r="C151" t="s">
        <v>57</v>
      </c>
      <c r="D151" t="s">
        <v>629</v>
      </c>
      <c r="E151" t="s">
        <v>630</v>
      </c>
      <c r="F151" s="1">
        <v>2.0833333333333333E-5</v>
      </c>
      <c r="G151" t="s">
        <v>16</v>
      </c>
      <c r="H151">
        <v>3</v>
      </c>
      <c r="I151">
        <v>125</v>
      </c>
      <c r="J151">
        <v>128</v>
      </c>
      <c r="L151" t="s">
        <v>17</v>
      </c>
      <c r="M151" s="3">
        <f t="shared" si="29"/>
        <v>1.8159998813644052</v>
      </c>
    </row>
    <row r="152" spans="1:13" x14ac:dyDescent="0.25">
      <c r="A152" t="s">
        <v>12</v>
      </c>
      <c r="B152">
        <v>1</v>
      </c>
      <c r="C152" t="s">
        <v>13</v>
      </c>
      <c r="D152" t="s">
        <v>14</v>
      </c>
      <c r="E152" t="s">
        <v>15</v>
      </c>
      <c r="F152" s="1">
        <v>1.5046296296296297E-5</v>
      </c>
      <c r="G152" t="s">
        <v>16</v>
      </c>
      <c r="H152">
        <v>5</v>
      </c>
      <c r="I152">
        <v>81</v>
      </c>
      <c r="J152">
        <v>86</v>
      </c>
      <c r="L152" t="s">
        <v>17</v>
      </c>
      <c r="M152" s="3">
        <f t="shared" si="29"/>
        <v>1.2640000088140368</v>
      </c>
    </row>
    <row r="153" spans="1:13" x14ac:dyDescent="0.25">
      <c r="A153" t="s">
        <v>12</v>
      </c>
      <c r="B153">
        <v>2</v>
      </c>
      <c r="C153" t="s">
        <v>13</v>
      </c>
      <c r="D153" t="s">
        <v>18</v>
      </c>
      <c r="E153" t="s">
        <v>19</v>
      </c>
      <c r="F153" s="1">
        <v>1.8518518518518518E-5</v>
      </c>
      <c r="G153" t="s">
        <v>16</v>
      </c>
      <c r="H153">
        <v>5</v>
      </c>
      <c r="I153">
        <v>81</v>
      </c>
      <c r="J153">
        <v>86</v>
      </c>
      <c r="L153" t="s">
        <v>17</v>
      </c>
      <c r="M153" s="3">
        <f t="shared" si="29"/>
        <v>1.0609999531880021</v>
      </c>
    </row>
    <row r="154" spans="1:13" x14ac:dyDescent="0.25">
      <c r="A154" t="s">
        <v>12</v>
      </c>
      <c r="B154">
        <v>3</v>
      </c>
      <c r="C154" t="s">
        <v>13</v>
      </c>
      <c r="D154" t="s">
        <v>20</v>
      </c>
      <c r="E154" t="s">
        <v>21</v>
      </c>
      <c r="F154" s="1">
        <v>1.7361111111111111E-5</v>
      </c>
      <c r="G154" t="s">
        <v>16</v>
      </c>
      <c r="H154">
        <v>5</v>
      </c>
      <c r="I154">
        <v>81</v>
      </c>
      <c r="J154">
        <v>86</v>
      </c>
      <c r="L154" t="s">
        <v>17</v>
      </c>
      <c r="M154" s="3">
        <f t="shared" si="29"/>
        <v>1.0499999625608325</v>
      </c>
    </row>
    <row r="155" spans="1:13" x14ac:dyDescent="0.25">
      <c r="A155" t="s">
        <v>12</v>
      </c>
      <c r="B155">
        <v>4</v>
      </c>
      <c r="C155" t="s">
        <v>13</v>
      </c>
      <c r="D155" t="s">
        <v>22</v>
      </c>
      <c r="E155" t="s">
        <v>23</v>
      </c>
      <c r="F155" s="1">
        <v>1.9675925925925925E-5</v>
      </c>
      <c r="G155" t="s">
        <v>16</v>
      </c>
      <c r="H155">
        <v>5</v>
      </c>
      <c r="I155">
        <v>81</v>
      </c>
      <c r="J155">
        <v>86</v>
      </c>
      <c r="L155" t="s">
        <v>17</v>
      </c>
      <c r="M155" s="3">
        <f t="shared" si="29"/>
        <v>1.0069995420053601</v>
      </c>
    </row>
    <row r="156" spans="1:13" x14ac:dyDescent="0.25">
      <c r="A156" t="s">
        <v>12</v>
      </c>
      <c r="B156">
        <v>5</v>
      </c>
      <c r="C156" t="s">
        <v>13</v>
      </c>
      <c r="D156" t="s">
        <v>24</v>
      </c>
      <c r="E156" t="s">
        <v>25</v>
      </c>
      <c r="F156" s="1">
        <v>1.5046296296296297E-5</v>
      </c>
      <c r="G156" t="s">
        <v>16</v>
      </c>
      <c r="H156">
        <v>5</v>
      </c>
      <c r="I156">
        <v>81</v>
      </c>
      <c r="J156">
        <v>86</v>
      </c>
      <c r="L156" t="s">
        <v>17</v>
      </c>
      <c r="M156" s="3">
        <f t="shared" si="29"/>
        <v>1.0310004930943251</v>
      </c>
    </row>
    <row r="157" spans="1:13" x14ac:dyDescent="0.25">
      <c r="A157" t="s">
        <v>12</v>
      </c>
      <c r="B157">
        <v>6</v>
      </c>
      <c r="C157" t="s">
        <v>13</v>
      </c>
      <c r="D157" t="s">
        <v>26</v>
      </c>
      <c r="E157" t="s">
        <v>27</v>
      </c>
      <c r="F157" s="1">
        <v>1.2731481481481482E-5</v>
      </c>
      <c r="G157" t="s">
        <v>16</v>
      </c>
      <c r="H157">
        <v>5</v>
      </c>
      <c r="I157">
        <v>81</v>
      </c>
      <c r="J157">
        <v>86</v>
      </c>
      <c r="L157" t="s">
        <v>17</v>
      </c>
      <c r="M157" s="3">
        <f t="shared" si="29"/>
        <v>1.0120003949850798</v>
      </c>
    </row>
    <row r="158" spans="1:13" x14ac:dyDescent="0.25">
      <c r="A158" t="s">
        <v>12</v>
      </c>
      <c r="B158">
        <v>7</v>
      </c>
      <c r="C158" t="s">
        <v>13</v>
      </c>
      <c r="D158" t="s">
        <v>28</v>
      </c>
      <c r="E158" t="s">
        <v>29</v>
      </c>
      <c r="F158" s="1">
        <v>1.7361111111111111E-5</v>
      </c>
      <c r="G158" t="s">
        <v>16</v>
      </c>
      <c r="H158">
        <v>5</v>
      </c>
      <c r="I158">
        <v>81</v>
      </c>
      <c r="J158">
        <v>86</v>
      </c>
      <c r="L158" t="s">
        <v>17</v>
      </c>
      <c r="M158" s="3">
        <f t="shared" si="29"/>
        <v>1.0499999625608325</v>
      </c>
    </row>
    <row r="159" spans="1:13" x14ac:dyDescent="0.25">
      <c r="A159" t="s">
        <v>12</v>
      </c>
      <c r="B159">
        <v>8</v>
      </c>
      <c r="C159" t="s">
        <v>13</v>
      </c>
      <c r="D159" t="s">
        <v>30</v>
      </c>
      <c r="E159" t="s">
        <v>31</v>
      </c>
      <c r="F159" s="1">
        <v>1.1574074074074073E-5</v>
      </c>
      <c r="G159" t="s">
        <v>16</v>
      </c>
      <c r="H159">
        <v>5</v>
      </c>
      <c r="I159">
        <v>81</v>
      </c>
      <c r="J159">
        <v>86</v>
      </c>
      <c r="L159" t="s">
        <v>17</v>
      </c>
      <c r="M159" s="3">
        <f t="shared" si="29"/>
        <v>0.99800052121281624</v>
      </c>
    </row>
    <row r="160" spans="1:13" x14ac:dyDescent="0.25">
      <c r="A160" t="s">
        <v>12</v>
      </c>
      <c r="B160">
        <v>9</v>
      </c>
      <c r="C160" t="s">
        <v>13</v>
      </c>
      <c r="D160" t="s">
        <v>32</v>
      </c>
      <c r="E160" t="s">
        <v>33</v>
      </c>
      <c r="F160" s="1">
        <v>1.6203703703703704E-5</v>
      </c>
      <c r="G160" t="s">
        <v>16</v>
      </c>
      <c r="H160">
        <v>5</v>
      </c>
      <c r="I160">
        <v>81</v>
      </c>
      <c r="J160">
        <v>86</v>
      </c>
      <c r="L160" t="s">
        <v>17</v>
      </c>
      <c r="M160" s="3">
        <f t="shared" si="29"/>
        <v>1.0400001425296068</v>
      </c>
    </row>
    <row r="161" spans="1:13" x14ac:dyDescent="0.25">
      <c r="A161" t="s">
        <v>12</v>
      </c>
      <c r="B161">
        <v>10</v>
      </c>
      <c r="C161" t="s">
        <v>13</v>
      </c>
      <c r="D161" t="s">
        <v>34</v>
      </c>
      <c r="E161" t="s">
        <v>35</v>
      </c>
      <c r="F161" s="1">
        <v>1.7361111111111111E-5</v>
      </c>
      <c r="G161" t="s">
        <v>16</v>
      </c>
      <c r="H161">
        <v>5</v>
      </c>
      <c r="I161">
        <v>81</v>
      </c>
      <c r="J161">
        <v>86</v>
      </c>
      <c r="L161" t="s">
        <v>17</v>
      </c>
      <c r="M161" s="3">
        <f t="shared" si="29"/>
        <v>1.0540000163018703</v>
      </c>
    </row>
    <row r="162" spans="1:13" x14ac:dyDescent="0.25">
      <c r="A162" t="s">
        <v>12</v>
      </c>
      <c r="B162">
        <v>1</v>
      </c>
      <c r="C162" t="s">
        <v>36</v>
      </c>
      <c r="D162" t="s">
        <v>37</v>
      </c>
      <c r="E162" t="s">
        <v>38</v>
      </c>
      <c r="F162" s="1">
        <v>1.5046296296296297E-5</v>
      </c>
      <c r="G162" t="s">
        <v>16</v>
      </c>
      <c r="H162">
        <v>5</v>
      </c>
      <c r="I162">
        <v>173</v>
      </c>
      <c r="J162">
        <v>178</v>
      </c>
      <c r="L162" t="s">
        <v>17</v>
      </c>
      <c r="M162" s="3">
        <f t="shared" si="29"/>
        <v>1.3239995576441288</v>
      </c>
    </row>
    <row r="163" spans="1:13" x14ac:dyDescent="0.25">
      <c r="A163" t="s">
        <v>12</v>
      </c>
      <c r="B163">
        <v>2</v>
      </c>
      <c r="C163" t="s">
        <v>36</v>
      </c>
      <c r="D163" t="s">
        <v>39</v>
      </c>
      <c r="E163" t="s">
        <v>40</v>
      </c>
      <c r="F163" s="1">
        <v>1.2731481481481482E-5</v>
      </c>
      <c r="G163" t="s">
        <v>16</v>
      </c>
      <c r="H163">
        <v>5</v>
      </c>
      <c r="I163">
        <v>173</v>
      </c>
      <c r="J163">
        <v>178</v>
      </c>
      <c r="L163" t="s">
        <v>17</v>
      </c>
      <c r="M163" s="3">
        <f t="shared" si="29"/>
        <v>1.121999672614038</v>
      </c>
    </row>
    <row r="164" spans="1:13" x14ac:dyDescent="0.25">
      <c r="A164" t="s">
        <v>12</v>
      </c>
      <c r="B164">
        <v>3</v>
      </c>
      <c r="C164" t="s">
        <v>36</v>
      </c>
      <c r="D164" t="s">
        <v>41</v>
      </c>
      <c r="E164" t="s">
        <v>42</v>
      </c>
      <c r="F164" s="1">
        <v>2.3148148148148147E-5</v>
      </c>
      <c r="G164" t="s">
        <v>16</v>
      </c>
      <c r="H164">
        <v>5</v>
      </c>
      <c r="I164">
        <v>173</v>
      </c>
      <c r="J164">
        <v>178</v>
      </c>
      <c r="L164" t="s">
        <v>17</v>
      </c>
      <c r="M164" s="3">
        <f t="shared" si="29"/>
        <v>1.0989995207637548</v>
      </c>
    </row>
    <row r="165" spans="1:13" x14ac:dyDescent="0.25">
      <c r="A165" t="s">
        <v>12</v>
      </c>
      <c r="B165">
        <v>4</v>
      </c>
      <c r="C165" t="s">
        <v>36</v>
      </c>
      <c r="D165" t="s">
        <v>43</v>
      </c>
      <c r="E165" t="s">
        <v>44</v>
      </c>
      <c r="F165" s="1">
        <v>1.2731481481481482E-5</v>
      </c>
      <c r="G165" t="s">
        <v>16</v>
      </c>
      <c r="H165">
        <v>5</v>
      </c>
      <c r="I165">
        <v>173</v>
      </c>
      <c r="J165">
        <v>178</v>
      </c>
      <c r="L165" t="s">
        <v>17</v>
      </c>
      <c r="M165" s="3">
        <f t="shared" si="29"/>
        <v>1.1250001844018698</v>
      </c>
    </row>
    <row r="166" spans="1:13" x14ac:dyDescent="0.25">
      <c r="A166" t="s">
        <v>12</v>
      </c>
      <c r="B166">
        <v>5</v>
      </c>
      <c r="C166" t="s">
        <v>36</v>
      </c>
      <c r="D166" t="s">
        <v>45</v>
      </c>
      <c r="E166" t="s">
        <v>46</v>
      </c>
      <c r="F166" s="1">
        <v>2.199074074074074E-5</v>
      </c>
      <c r="G166" t="s">
        <v>16</v>
      </c>
      <c r="H166">
        <v>5</v>
      </c>
      <c r="I166">
        <v>173</v>
      </c>
      <c r="J166">
        <v>178</v>
      </c>
      <c r="L166" t="s">
        <v>17</v>
      </c>
      <c r="M166" s="3">
        <f t="shared" si="29"/>
        <v>1.092999754473567</v>
      </c>
    </row>
    <row r="167" spans="1:13" x14ac:dyDescent="0.25">
      <c r="A167" t="s">
        <v>12</v>
      </c>
      <c r="B167">
        <v>6</v>
      </c>
      <c r="C167" t="s">
        <v>36</v>
      </c>
      <c r="D167" t="s">
        <v>47</v>
      </c>
      <c r="E167" t="s">
        <v>48</v>
      </c>
      <c r="F167" s="1">
        <v>1.5046296296296297E-5</v>
      </c>
      <c r="G167" t="s">
        <v>16</v>
      </c>
      <c r="H167">
        <v>5</v>
      </c>
      <c r="I167">
        <v>173</v>
      </c>
      <c r="J167">
        <v>178</v>
      </c>
      <c r="L167" t="s">
        <v>17</v>
      </c>
      <c r="M167" s="3">
        <f t="shared" si="29"/>
        <v>1.2690002331510186</v>
      </c>
    </row>
    <row r="168" spans="1:13" x14ac:dyDescent="0.25">
      <c r="A168" t="s">
        <v>12</v>
      </c>
      <c r="B168">
        <v>7</v>
      </c>
      <c r="C168" t="s">
        <v>36</v>
      </c>
      <c r="D168" t="s">
        <v>49</v>
      </c>
      <c r="E168" t="s">
        <v>50</v>
      </c>
      <c r="F168" s="1">
        <v>1.8518518518518518E-5</v>
      </c>
      <c r="G168" t="s">
        <v>16</v>
      </c>
      <c r="H168">
        <v>5</v>
      </c>
      <c r="I168">
        <v>173</v>
      </c>
      <c r="J168">
        <v>178</v>
      </c>
      <c r="L168" t="s">
        <v>17</v>
      </c>
      <c r="M168" s="3">
        <f t="shared" si="29"/>
        <v>1.0619994951412082</v>
      </c>
    </row>
    <row r="169" spans="1:13" x14ac:dyDescent="0.25">
      <c r="A169" t="s">
        <v>12</v>
      </c>
      <c r="B169">
        <v>8</v>
      </c>
      <c r="C169" t="s">
        <v>36</v>
      </c>
      <c r="D169" t="s">
        <v>51</v>
      </c>
      <c r="E169" t="s">
        <v>52</v>
      </c>
      <c r="F169" s="1">
        <v>1.9675925925925925E-5</v>
      </c>
      <c r="G169" t="s">
        <v>16</v>
      </c>
      <c r="H169">
        <v>5</v>
      </c>
      <c r="I169">
        <v>173</v>
      </c>
      <c r="J169">
        <v>178</v>
      </c>
      <c r="L169" t="s">
        <v>17</v>
      </c>
      <c r="M169" s="3">
        <f t="shared" si="29"/>
        <v>1.06500000692904</v>
      </c>
    </row>
    <row r="170" spans="1:13" x14ac:dyDescent="0.25">
      <c r="A170" t="s">
        <v>12</v>
      </c>
      <c r="B170">
        <v>9</v>
      </c>
      <c r="C170" t="s">
        <v>36</v>
      </c>
      <c r="D170" t="s">
        <v>53</v>
      </c>
      <c r="E170" t="s">
        <v>54</v>
      </c>
      <c r="F170" s="1">
        <v>1.8518518518518518E-5</v>
      </c>
      <c r="G170" t="s">
        <v>16</v>
      </c>
      <c r="H170">
        <v>5</v>
      </c>
      <c r="I170">
        <v>173</v>
      </c>
      <c r="J170">
        <v>178</v>
      </c>
      <c r="L170" t="s">
        <v>17</v>
      </c>
      <c r="M170" s="3">
        <f t="shared" si="29"/>
        <v>1.0609999531880021</v>
      </c>
    </row>
    <row r="171" spans="1:13" x14ac:dyDescent="0.25">
      <c r="A171" t="s">
        <v>12</v>
      </c>
      <c r="B171">
        <v>10</v>
      </c>
      <c r="C171" t="s">
        <v>36</v>
      </c>
      <c r="D171" t="s">
        <v>55</v>
      </c>
      <c r="E171" t="s">
        <v>56</v>
      </c>
      <c r="F171" s="1">
        <v>1.5046296296296297E-5</v>
      </c>
      <c r="G171" t="s">
        <v>16</v>
      </c>
      <c r="H171">
        <v>5</v>
      </c>
      <c r="I171">
        <v>173</v>
      </c>
      <c r="J171">
        <v>178</v>
      </c>
      <c r="L171" t="s">
        <v>17</v>
      </c>
      <c r="M171" s="3">
        <f t="shared" si="29"/>
        <v>1.2540001887828112</v>
      </c>
    </row>
    <row r="172" spans="1:13" x14ac:dyDescent="0.25">
      <c r="A172" t="s">
        <v>12</v>
      </c>
      <c r="B172">
        <v>1</v>
      </c>
      <c r="C172" t="s">
        <v>57</v>
      </c>
      <c r="D172" t="s">
        <v>58</v>
      </c>
      <c r="E172" t="s">
        <v>59</v>
      </c>
      <c r="F172" s="1">
        <v>1.2731481481481482E-5</v>
      </c>
      <c r="G172" t="s">
        <v>16</v>
      </c>
      <c r="H172">
        <v>5</v>
      </c>
      <c r="I172">
        <v>108</v>
      </c>
      <c r="J172">
        <v>113</v>
      </c>
      <c r="L172" t="s">
        <v>17</v>
      </c>
      <c r="M172" s="3">
        <f t="shared" si="29"/>
        <v>1.1210001306608319</v>
      </c>
    </row>
    <row r="173" spans="1:13" x14ac:dyDescent="0.25">
      <c r="A173" t="s">
        <v>12</v>
      </c>
      <c r="B173">
        <v>2</v>
      </c>
      <c r="C173" t="s">
        <v>57</v>
      </c>
      <c r="D173" t="s">
        <v>60</v>
      </c>
      <c r="E173" t="s">
        <v>61</v>
      </c>
      <c r="F173" s="1">
        <v>1.2731481481481482E-5</v>
      </c>
      <c r="G173" t="s">
        <v>16</v>
      </c>
      <c r="H173">
        <v>5</v>
      </c>
      <c r="I173">
        <v>108</v>
      </c>
      <c r="J173">
        <v>113</v>
      </c>
      <c r="L173" t="s">
        <v>17</v>
      </c>
      <c r="M173" s="3">
        <f t="shared" si="29"/>
        <v>1.1309999506920576</v>
      </c>
    </row>
    <row r="174" spans="1:13" x14ac:dyDescent="0.25">
      <c r="A174" t="s">
        <v>12</v>
      </c>
      <c r="B174">
        <v>3</v>
      </c>
      <c r="C174" t="s">
        <v>57</v>
      </c>
      <c r="D174" t="s">
        <v>62</v>
      </c>
      <c r="E174" t="s">
        <v>63</v>
      </c>
      <c r="F174" s="1">
        <v>1.6203703703703704E-5</v>
      </c>
      <c r="G174" t="s">
        <v>16</v>
      </c>
      <c r="H174">
        <v>5</v>
      </c>
      <c r="I174">
        <v>108</v>
      </c>
      <c r="J174">
        <v>113</v>
      </c>
      <c r="L174" t="s">
        <v>17</v>
      </c>
      <c r="M174" s="3">
        <f t="shared" si="29"/>
        <v>1.0370002593845129</v>
      </c>
    </row>
    <row r="175" spans="1:13" x14ac:dyDescent="0.25">
      <c r="A175" t="s">
        <v>12</v>
      </c>
      <c r="B175">
        <v>4</v>
      </c>
      <c r="C175" t="s">
        <v>57</v>
      </c>
      <c r="D175" t="s">
        <v>64</v>
      </c>
      <c r="E175" t="s">
        <v>65</v>
      </c>
      <c r="F175" s="1">
        <v>1.7361111111111111E-5</v>
      </c>
      <c r="G175" t="s">
        <v>16</v>
      </c>
      <c r="H175">
        <v>5</v>
      </c>
      <c r="I175">
        <v>108</v>
      </c>
      <c r="J175">
        <v>113</v>
      </c>
      <c r="L175" t="s">
        <v>17</v>
      </c>
      <c r="M175" s="3">
        <f t="shared" si="29"/>
        <v>1.5200003050267696</v>
      </c>
    </row>
    <row r="176" spans="1:13" x14ac:dyDescent="0.25">
      <c r="A176" t="s">
        <v>12</v>
      </c>
      <c r="B176">
        <v>5</v>
      </c>
      <c r="C176" t="s">
        <v>57</v>
      </c>
      <c r="D176" t="s">
        <v>66</v>
      </c>
      <c r="E176" t="s">
        <v>67</v>
      </c>
      <c r="F176" s="1">
        <v>2.0833333333333333E-5</v>
      </c>
      <c r="G176" t="s">
        <v>16</v>
      </c>
      <c r="H176">
        <v>5</v>
      </c>
      <c r="I176">
        <v>108</v>
      </c>
      <c r="J176">
        <v>113</v>
      </c>
      <c r="L176" t="s">
        <v>17</v>
      </c>
      <c r="M176" s="3">
        <f t="shared" si="29"/>
        <v>1.0809995932504535</v>
      </c>
    </row>
    <row r="177" spans="1:13" x14ac:dyDescent="0.25">
      <c r="A177" t="s">
        <v>12</v>
      </c>
      <c r="B177">
        <v>6</v>
      </c>
      <c r="C177" t="s">
        <v>57</v>
      </c>
      <c r="D177" t="s">
        <v>68</v>
      </c>
      <c r="E177" t="s">
        <v>69</v>
      </c>
      <c r="F177" s="1">
        <v>1.7361111111111111E-5</v>
      </c>
      <c r="G177" t="s">
        <v>16</v>
      </c>
      <c r="H177">
        <v>5</v>
      </c>
      <c r="I177">
        <v>108</v>
      </c>
      <c r="J177">
        <v>113</v>
      </c>
      <c r="L177" t="s">
        <v>17</v>
      </c>
      <c r="M177" s="3">
        <f t="shared" si="29"/>
        <v>1.0480002500116825</v>
      </c>
    </row>
    <row r="178" spans="1:13" x14ac:dyDescent="0.25">
      <c r="A178" t="s">
        <v>12</v>
      </c>
      <c r="B178">
        <v>7</v>
      </c>
      <c r="C178" t="s">
        <v>57</v>
      </c>
      <c r="D178" t="s">
        <v>70</v>
      </c>
      <c r="E178" t="s">
        <v>71</v>
      </c>
      <c r="F178" s="1">
        <v>1.2731481481481482E-5</v>
      </c>
      <c r="G178" t="s">
        <v>16</v>
      </c>
      <c r="H178">
        <v>5</v>
      </c>
      <c r="I178">
        <v>108</v>
      </c>
      <c r="J178">
        <v>113</v>
      </c>
      <c r="L178" t="s">
        <v>17</v>
      </c>
      <c r="M178" s="3">
        <f t="shared" si="29"/>
        <v>1.1200005887076259</v>
      </c>
    </row>
    <row r="179" spans="1:13" x14ac:dyDescent="0.25">
      <c r="A179" t="s">
        <v>12</v>
      </c>
      <c r="B179">
        <v>8</v>
      </c>
      <c r="C179" t="s">
        <v>57</v>
      </c>
      <c r="D179" t="s">
        <v>72</v>
      </c>
      <c r="E179" t="s">
        <v>73</v>
      </c>
      <c r="F179" s="1">
        <v>1.9675925925925925E-5</v>
      </c>
      <c r="G179" t="s">
        <v>16</v>
      </c>
      <c r="H179">
        <v>5</v>
      </c>
      <c r="I179">
        <v>108</v>
      </c>
      <c r="J179">
        <v>113</v>
      </c>
      <c r="L179" t="s">
        <v>17</v>
      </c>
      <c r="M179" s="3">
        <f t="shared" si="29"/>
        <v>1.0729994857683778</v>
      </c>
    </row>
    <row r="180" spans="1:13" x14ac:dyDescent="0.25">
      <c r="A180" t="s">
        <v>12</v>
      </c>
      <c r="B180">
        <v>9</v>
      </c>
      <c r="C180" t="s">
        <v>57</v>
      </c>
      <c r="D180" t="s">
        <v>74</v>
      </c>
      <c r="E180" t="s">
        <v>75</v>
      </c>
      <c r="F180" s="1">
        <v>1.6203703703703704E-5</v>
      </c>
      <c r="G180" t="s">
        <v>16</v>
      </c>
      <c r="H180">
        <v>5</v>
      </c>
      <c r="I180">
        <v>108</v>
      </c>
      <c r="J180">
        <v>113</v>
      </c>
      <c r="L180" t="s">
        <v>17</v>
      </c>
      <c r="M180" s="3">
        <f t="shared" si="29"/>
        <v>1.0430000256747007</v>
      </c>
    </row>
    <row r="181" spans="1:13" x14ac:dyDescent="0.25">
      <c r="A181" t="s">
        <v>12</v>
      </c>
      <c r="B181">
        <v>10</v>
      </c>
      <c r="C181" t="s">
        <v>57</v>
      </c>
      <c r="D181" t="s">
        <v>76</v>
      </c>
      <c r="E181" t="s">
        <v>77</v>
      </c>
      <c r="F181" s="1">
        <v>1.6203703703703704E-5</v>
      </c>
      <c r="G181" t="s">
        <v>16</v>
      </c>
      <c r="H181">
        <v>5</v>
      </c>
      <c r="I181">
        <v>108</v>
      </c>
      <c r="J181">
        <v>113</v>
      </c>
      <c r="L181" t="s">
        <v>17</v>
      </c>
      <c r="M181" s="3">
        <f t="shared" si="29"/>
        <v>1.0370002593845129</v>
      </c>
    </row>
    <row r="182" spans="1:13" x14ac:dyDescent="0.25">
      <c r="A182" t="s">
        <v>78</v>
      </c>
      <c r="B182">
        <v>1</v>
      </c>
      <c r="C182" t="s">
        <v>13</v>
      </c>
      <c r="D182" t="s">
        <v>79</v>
      </c>
      <c r="E182" t="s">
        <v>80</v>
      </c>
      <c r="F182" s="1">
        <v>1.7361111111111111E-5</v>
      </c>
      <c r="G182" t="s">
        <v>16</v>
      </c>
      <c r="H182">
        <v>4</v>
      </c>
      <c r="I182">
        <v>74</v>
      </c>
      <c r="J182">
        <v>78</v>
      </c>
      <c r="L182" t="s">
        <v>17</v>
      </c>
      <c r="M182" s="3">
        <f t="shared" si="29"/>
        <v>1.4989998657256365</v>
      </c>
    </row>
    <row r="183" spans="1:13" x14ac:dyDescent="0.25">
      <c r="A183" t="s">
        <v>78</v>
      </c>
      <c r="B183">
        <v>2</v>
      </c>
      <c r="C183" t="s">
        <v>13</v>
      </c>
      <c r="D183" t="s">
        <v>81</v>
      </c>
      <c r="E183" t="s">
        <v>82</v>
      </c>
      <c r="F183" s="1">
        <v>1.6203703703703704E-5</v>
      </c>
      <c r="G183" t="s">
        <v>16</v>
      </c>
      <c r="H183">
        <v>4</v>
      </c>
      <c r="I183">
        <v>74</v>
      </c>
      <c r="J183">
        <v>78</v>
      </c>
      <c r="L183" t="s">
        <v>17</v>
      </c>
      <c r="M183" s="3">
        <f t="shared" si="29"/>
        <v>1.427000155672431</v>
      </c>
    </row>
    <row r="184" spans="1:13" x14ac:dyDescent="0.25">
      <c r="A184" t="s">
        <v>78</v>
      </c>
      <c r="B184">
        <v>3</v>
      </c>
      <c r="C184" t="s">
        <v>13</v>
      </c>
      <c r="D184" t="s">
        <v>83</v>
      </c>
      <c r="E184" t="s">
        <v>84</v>
      </c>
      <c r="F184" s="1">
        <v>1.7361111111111111E-5</v>
      </c>
      <c r="G184" t="s">
        <v>16</v>
      </c>
      <c r="H184">
        <v>4</v>
      </c>
      <c r="I184">
        <v>74</v>
      </c>
      <c r="J184">
        <v>78</v>
      </c>
      <c r="L184" t="s">
        <v>17</v>
      </c>
      <c r="M184" s="3">
        <f t="shared" si="29"/>
        <v>1.51100002694875</v>
      </c>
    </row>
    <row r="185" spans="1:13" x14ac:dyDescent="0.25">
      <c r="A185" t="s">
        <v>78</v>
      </c>
      <c r="B185">
        <v>4</v>
      </c>
      <c r="C185" t="s">
        <v>13</v>
      </c>
      <c r="D185" t="s">
        <v>85</v>
      </c>
      <c r="E185" t="s">
        <v>86</v>
      </c>
      <c r="F185" s="1">
        <v>1.2731481481481482E-5</v>
      </c>
      <c r="G185" t="s">
        <v>16</v>
      </c>
      <c r="H185">
        <v>4</v>
      </c>
      <c r="I185">
        <v>74</v>
      </c>
      <c r="J185">
        <v>78</v>
      </c>
      <c r="L185" t="s">
        <v>17</v>
      </c>
      <c r="M185" s="3">
        <f t="shared" si="29"/>
        <v>1.1140001937747002</v>
      </c>
    </row>
    <row r="186" spans="1:13" x14ac:dyDescent="0.25">
      <c r="A186" t="s">
        <v>78</v>
      </c>
      <c r="B186">
        <v>5</v>
      </c>
      <c r="C186" t="s">
        <v>13</v>
      </c>
      <c r="D186" t="s">
        <v>87</v>
      </c>
      <c r="E186" t="s">
        <v>88</v>
      </c>
      <c r="F186" s="1">
        <v>1.6203703703703704E-5</v>
      </c>
      <c r="G186" t="s">
        <v>16</v>
      </c>
      <c r="H186">
        <v>4</v>
      </c>
      <c r="I186">
        <v>74</v>
      </c>
      <c r="J186">
        <v>78</v>
      </c>
      <c r="L186" t="s">
        <v>17</v>
      </c>
      <c r="M186" s="3">
        <f t="shared" si="29"/>
        <v>1.4160001650452614</v>
      </c>
    </row>
    <row r="187" spans="1:13" x14ac:dyDescent="0.25">
      <c r="A187" t="s">
        <v>78</v>
      </c>
      <c r="B187">
        <v>6</v>
      </c>
      <c r="C187" t="s">
        <v>13</v>
      </c>
      <c r="D187" t="s">
        <v>89</v>
      </c>
      <c r="E187" t="s">
        <v>90</v>
      </c>
      <c r="F187" s="1">
        <v>1.6203703703703704E-5</v>
      </c>
      <c r="G187" t="s">
        <v>16</v>
      </c>
      <c r="H187">
        <v>4</v>
      </c>
      <c r="I187">
        <v>74</v>
      </c>
      <c r="J187">
        <v>78</v>
      </c>
      <c r="L187" t="s">
        <v>17</v>
      </c>
      <c r="M187" s="3">
        <f t="shared" si="29"/>
        <v>1.4439999125897884</v>
      </c>
    </row>
    <row r="188" spans="1:13" x14ac:dyDescent="0.25">
      <c r="A188" t="s">
        <v>78</v>
      </c>
      <c r="B188">
        <v>7</v>
      </c>
      <c r="C188" t="s">
        <v>13</v>
      </c>
      <c r="D188" t="s">
        <v>91</v>
      </c>
      <c r="E188" t="s">
        <v>92</v>
      </c>
      <c r="F188" s="1">
        <v>1.7361111111111111E-5</v>
      </c>
      <c r="G188" t="s">
        <v>16</v>
      </c>
      <c r="H188">
        <v>4</v>
      </c>
      <c r="I188">
        <v>74</v>
      </c>
      <c r="J188">
        <v>78</v>
      </c>
      <c r="L188" t="s">
        <v>17</v>
      </c>
      <c r="M188" s="3">
        <f t="shared" si="29"/>
        <v>1.5150000806897879</v>
      </c>
    </row>
    <row r="189" spans="1:13" x14ac:dyDescent="0.25">
      <c r="A189" t="s">
        <v>78</v>
      </c>
      <c r="B189">
        <v>8</v>
      </c>
      <c r="C189" t="s">
        <v>13</v>
      </c>
      <c r="D189" t="s">
        <v>93</v>
      </c>
      <c r="E189" t="s">
        <v>94</v>
      </c>
      <c r="F189" s="1">
        <v>1.3888888888888888E-5</v>
      </c>
      <c r="G189" t="s">
        <v>16</v>
      </c>
      <c r="H189">
        <v>4</v>
      </c>
      <c r="I189">
        <v>74</v>
      </c>
      <c r="J189">
        <v>78</v>
      </c>
      <c r="L189" t="s">
        <v>17</v>
      </c>
      <c r="M189" s="3">
        <f t="shared" si="29"/>
        <v>1.1960003525018692</v>
      </c>
    </row>
    <row r="190" spans="1:13" x14ac:dyDescent="0.25">
      <c r="A190" t="s">
        <v>78</v>
      </c>
      <c r="B190">
        <v>9</v>
      </c>
      <c r="C190" t="s">
        <v>13</v>
      </c>
      <c r="D190" t="s">
        <v>95</v>
      </c>
      <c r="E190" t="s">
        <v>96</v>
      </c>
      <c r="F190" s="1">
        <v>1.6203703703703704E-5</v>
      </c>
      <c r="G190" t="s">
        <v>16</v>
      </c>
      <c r="H190">
        <v>4</v>
      </c>
      <c r="I190">
        <v>74</v>
      </c>
      <c r="J190">
        <v>78</v>
      </c>
      <c r="L190" t="s">
        <v>17</v>
      </c>
      <c r="M190" s="3">
        <f t="shared" si="29"/>
        <v>1.4490001369267702</v>
      </c>
    </row>
    <row r="191" spans="1:13" x14ac:dyDescent="0.25">
      <c r="A191" t="s">
        <v>78</v>
      </c>
      <c r="B191">
        <v>10</v>
      </c>
      <c r="C191" t="s">
        <v>13</v>
      </c>
      <c r="D191" t="s">
        <v>97</v>
      </c>
      <c r="E191" t="s">
        <v>98</v>
      </c>
      <c r="F191" s="1">
        <v>1.2731481481481482E-5</v>
      </c>
      <c r="G191" t="s">
        <v>16</v>
      </c>
      <c r="H191">
        <v>4</v>
      </c>
      <c r="I191">
        <v>74</v>
      </c>
      <c r="J191">
        <v>78</v>
      </c>
      <c r="L191" t="s">
        <v>17</v>
      </c>
      <c r="M191" s="3">
        <f t="shared" si="29"/>
        <v>1.0999996913596988</v>
      </c>
    </row>
    <row r="192" spans="1:13" x14ac:dyDescent="0.25">
      <c r="A192" t="s">
        <v>78</v>
      </c>
      <c r="B192">
        <v>1</v>
      </c>
      <c r="C192" t="s">
        <v>36</v>
      </c>
      <c r="D192" t="s">
        <v>99</v>
      </c>
      <c r="E192" t="s">
        <v>100</v>
      </c>
      <c r="F192" s="1">
        <v>1.9675925925925925E-5</v>
      </c>
      <c r="G192" t="s">
        <v>16</v>
      </c>
      <c r="H192">
        <v>4</v>
      </c>
      <c r="I192">
        <v>150</v>
      </c>
      <c r="J192">
        <v>154</v>
      </c>
      <c r="L192" t="s">
        <v>17</v>
      </c>
      <c r="M192" s="3">
        <f t="shared" si="29"/>
        <v>1.6939998138695955</v>
      </c>
    </row>
    <row r="193" spans="1:13" x14ac:dyDescent="0.25">
      <c r="A193" t="s">
        <v>78</v>
      </c>
      <c r="B193">
        <v>2</v>
      </c>
      <c r="C193" t="s">
        <v>36</v>
      </c>
      <c r="D193" t="s">
        <v>101</v>
      </c>
      <c r="E193" t="s">
        <v>102</v>
      </c>
      <c r="F193" s="1">
        <v>1.6203703703703704E-5</v>
      </c>
      <c r="G193" t="s">
        <v>16</v>
      </c>
      <c r="H193">
        <v>4</v>
      </c>
      <c r="I193">
        <v>150</v>
      </c>
      <c r="J193">
        <v>154</v>
      </c>
      <c r="L193" t="s">
        <v>17</v>
      </c>
      <c r="M193" s="3">
        <f t="shared" si="29"/>
        <v>1.4329999219626188</v>
      </c>
    </row>
    <row r="194" spans="1:13" x14ac:dyDescent="0.25">
      <c r="A194" t="s">
        <v>78</v>
      </c>
      <c r="B194">
        <v>3</v>
      </c>
      <c r="C194" t="s">
        <v>36</v>
      </c>
      <c r="D194" t="s">
        <v>103</v>
      </c>
      <c r="E194" t="s">
        <v>104</v>
      </c>
      <c r="F194" s="1">
        <v>1.6203703703703704E-5</v>
      </c>
      <c r="G194" t="s">
        <v>16</v>
      </c>
      <c r="H194">
        <v>4</v>
      </c>
      <c r="I194">
        <v>150</v>
      </c>
      <c r="J194">
        <v>154</v>
      </c>
      <c r="L194" t="s">
        <v>17</v>
      </c>
      <c r="M194" s="3">
        <f t="shared" si="29"/>
        <v>1.3549998169764876</v>
      </c>
    </row>
    <row r="195" spans="1:13" x14ac:dyDescent="0.25">
      <c r="A195" t="s">
        <v>78</v>
      </c>
      <c r="B195">
        <v>4</v>
      </c>
      <c r="C195" t="s">
        <v>36</v>
      </c>
      <c r="D195" t="s">
        <v>105</v>
      </c>
      <c r="E195" t="s">
        <v>106</v>
      </c>
      <c r="F195" s="1">
        <v>1.3888888888888888E-5</v>
      </c>
      <c r="G195" t="s">
        <v>16</v>
      </c>
      <c r="H195">
        <v>4</v>
      </c>
      <c r="I195">
        <v>150</v>
      </c>
      <c r="J195">
        <v>154</v>
      </c>
      <c r="L195" t="s">
        <v>17</v>
      </c>
      <c r="M195" s="3">
        <f t="shared" ref="M195:M258" si="30">(SUBSTITUTE(LEFT(E195,23),"T"," ")-SUBSTITUTE(LEFT(D195,23),"T"," "))*86400</f>
        <v>1.2060001725330949</v>
      </c>
    </row>
    <row r="196" spans="1:13" x14ac:dyDescent="0.25">
      <c r="A196" t="s">
        <v>78</v>
      </c>
      <c r="B196">
        <v>5</v>
      </c>
      <c r="C196" t="s">
        <v>36</v>
      </c>
      <c r="D196" t="s">
        <v>107</v>
      </c>
      <c r="E196" t="s">
        <v>108</v>
      </c>
      <c r="F196" s="1">
        <v>1.7361111111111111E-5</v>
      </c>
      <c r="G196" t="s">
        <v>16</v>
      </c>
      <c r="H196">
        <v>4</v>
      </c>
      <c r="I196">
        <v>150</v>
      </c>
      <c r="J196">
        <v>154</v>
      </c>
      <c r="L196" t="s">
        <v>17</v>
      </c>
      <c r="M196" s="3">
        <f t="shared" si="30"/>
        <v>1.4710001181811094</v>
      </c>
    </row>
    <row r="197" spans="1:13" x14ac:dyDescent="0.25">
      <c r="A197" t="s">
        <v>78</v>
      </c>
      <c r="B197">
        <v>6</v>
      </c>
      <c r="C197" t="s">
        <v>36</v>
      </c>
      <c r="D197" t="s">
        <v>109</v>
      </c>
      <c r="E197" t="s">
        <v>110</v>
      </c>
      <c r="F197" s="1">
        <v>1.2731481481481482E-5</v>
      </c>
      <c r="G197" t="s">
        <v>16</v>
      </c>
      <c r="H197">
        <v>4</v>
      </c>
      <c r="I197">
        <v>150</v>
      </c>
      <c r="J197">
        <v>154</v>
      </c>
      <c r="L197" t="s">
        <v>17</v>
      </c>
      <c r="M197" s="3">
        <f t="shared" si="30"/>
        <v>1.1100001400336623</v>
      </c>
    </row>
    <row r="198" spans="1:13" x14ac:dyDescent="0.25">
      <c r="A198" t="s">
        <v>78</v>
      </c>
      <c r="B198">
        <v>7</v>
      </c>
      <c r="C198" t="s">
        <v>36</v>
      </c>
      <c r="D198" t="s">
        <v>111</v>
      </c>
      <c r="E198" t="s">
        <v>112</v>
      </c>
      <c r="F198" s="1">
        <v>2.199074074074074E-5</v>
      </c>
      <c r="G198" t="s">
        <v>16</v>
      </c>
      <c r="H198">
        <v>4</v>
      </c>
      <c r="I198">
        <v>150</v>
      </c>
      <c r="J198">
        <v>154</v>
      </c>
      <c r="L198" t="s">
        <v>17</v>
      </c>
      <c r="M198" s="3">
        <f t="shared" si="30"/>
        <v>1.0919995838776231</v>
      </c>
    </row>
    <row r="199" spans="1:13" x14ac:dyDescent="0.25">
      <c r="A199" t="s">
        <v>78</v>
      </c>
      <c r="B199">
        <v>8</v>
      </c>
      <c r="C199" t="s">
        <v>36</v>
      </c>
      <c r="D199" t="s">
        <v>113</v>
      </c>
      <c r="E199" t="s">
        <v>114</v>
      </c>
      <c r="F199" s="1">
        <v>1.2731481481481482E-5</v>
      </c>
      <c r="G199" t="s">
        <v>16</v>
      </c>
      <c r="H199">
        <v>4</v>
      </c>
      <c r="I199">
        <v>150</v>
      </c>
      <c r="J199">
        <v>154</v>
      </c>
      <c r="L199" t="s">
        <v>17</v>
      </c>
      <c r="M199" s="3">
        <f t="shared" si="30"/>
        <v>1.1449998244643211</v>
      </c>
    </row>
    <row r="200" spans="1:13" x14ac:dyDescent="0.25">
      <c r="A200" t="s">
        <v>78</v>
      </c>
      <c r="B200">
        <v>9</v>
      </c>
      <c r="C200" t="s">
        <v>36</v>
      </c>
      <c r="D200" t="s">
        <v>115</v>
      </c>
      <c r="E200" t="s">
        <v>116</v>
      </c>
      <c r="F200" s="1">
        <v>1.7361111111111111E-5</v>
      </c>
      <c r="G200" t="s">
        <v>16</v>
      </c>
      <c r="H200">
        <v>4</v>
      </c>
      <c r="I200">
        <v>150</v>
      </c>
      <c r="J200">
        <v>154</v>
      </c>
      <c r="L200" t="s">
        <v>17</v>
      </c>
      <c r="M200" s="3">
        <f t="shared" si="30"/>
        <v>1.483000279404223</v>
      </c>
    </row>
    <row r="201" spans="1:13" x14ac:dyDescent="0.25">
      <c r="A201" t="s">
        <v>78</v>
      </c>
      <c r="B201">
        <v>10</v>
      </c>
      <c r="C201" t="s">
        <v>36</v>
      </c>
      <c r="D201" t="s">
        <v>117</v>
      </c>
      <c r="E201" t="s">
        <v>118</v>
      </c>
      <c r="F201" s="1">
        <v>1.7361111111111111E-5</v>
      </c>
      <c r="G201" t="s">
        <v>16</v>
      </c>
      <c r="H201">
        <v>4</v>
      </c>
      <c r="I201">
        <v>150</v>
      </c>
      <c r="J201">
        <v>154</v>
      </c>
      <c r="L201" t="s">
        <v>17</v>
      </c>
      <c r="M201" s="3">
        <f t="shared" si="30"/>
        <v>1.483999821357429</v>
      </c>
    </row>
    <row r="202" spans="1:13" x14ac:dyDescent="0.25">
      <c r="A202" t="s">
        <v>78</v>
      </c>
      <c r="B202">
        <v>1</v>
      </c>
      <c r="C202" t="s">
        <v>57</v>
      </c>
      <c r="D202" t="s">
        <v>119</v>
      </c>
      <c r="E202" t="s">
        <v>120</v>
      </c>
      <c r="F202" s="1">
        <v>1.7361111111111111E-5</v>
      </c>
      <c r="G202" t="s">
        <v>16</v>
      </c>
      <c r="H202">
        <v>4</v>
      </c>
      <c r="I202">
        <v>104</v>
      </c>
      <c r="J202">
        <v>108</v>
      </c>
      <c r="L202" t="s">
        <v>17</v>
      </c>
      <c r="M202" s="3">
        <f t="shared" si="30"/>
        <v>1.5069999732077122</v>
      </c>
    </row>
    <row r="203" spans="1:13" x14ac:dyDescent="0.25">
      <c r="A203" t="s">
        <v>78</v>
      </c>
      <c r="B203">
        <v>2</v>
      </c>
      <c r="C203" t="s">
        <v>57</v>
      </c>
      <c r="D203" t="s">
        <v>121</v>
      </c>
      <c r="E203" t="s">
        <v>122</v>
      </c>
      <c r="F203" s="1">
        <v>1.7361111111111111E-5</v>
      </c>
      <c r="G203" t="s">
        <v>16</v>
      </c>
      <c r="H203">
        <v>4</v>
      </c>
      <c r="I203">
        <v>104</v>
      </c>
      <c r="J203">
        <v>108</v>
      </c>
      <c r="L203" t="s">
        <v>17</v>
      </c>
      <c r="M203" s="3">
        <f t="shared" si="30"/>
        <v>1.5019997488707304</v>
      </c>
    </row>
    <row r="204" spans="1:13" x14ac:dyDescent="0.25">
      <c r="A204" t="s">
        <v>78</v>
      </c>
      <c r="B204">
        <v>3</v>
      </c>
      <c r="C204" t="s">
        <v>57</v>
      </c>
      <c r="D204" t="s">
        <v>123</v>
      </c>
      <c r="E204" t="s">
        <v>124</v>
      </c>
      <c r="F204" s="1">
        <v>1.6203703703703704E-5</v>
      </c>
      <c r="G204" t="s">
        <v>16</v>
      </c>
      <c r="H204">
        <v>4</v>
      </c>
      <c r="I204">
        <v>104</v>
      </c>
      <c r="J204">
        <v>108</v>
      </c>
      <c r="L204" t="s">
        <v>17</v>
      </c>
      <c r="M204" s="3">
        <f t="shared" si="30"/>
        <v>1.3840003637596965</v>
      </c>
    </row>
    <row r="205" spans="1:13" x14ac:dyDescent="0.25">
      <c r="A205" t="s">
        <v>78</v>
      </c>
      <c r="B205">
        <v>4</v>
      </c>
      <c r="C205" t="s">
        <v>57</v>
      </c>
      <c r="D205" t="s">
        <v>125</v>
      </c>
      <c r="E205" t="s">
        <v>126</v>
      </c>
      <c r="F205" s="1">
        <v>1.7361111111111111E-5</v>
      </c>
      <c r="G205" t="s">
        <v>16</v>
      </c>
      <c r="H205">
        <v>4</v>
      </c>
      <c r="I205">
        <v>104</v>
      </c>
      <c r="J205">
        <v>108</v>
      </c>
      <c r="L205" t="s">
        <v>17</v>
      </c>
      <c r="M205" s="3">
        <f t="shared" si="30"/>
        <v>1.4769998844712973</v>
      </c>
    </row>
    <row r="206" spans="1:13" x14ac:dyDescent="0.25">
      <c r="A206" t="s">
        <v>78</v>
      </c>
      <c r="B206">
        <v>5</v>
      </c>
      <c r="C206" t="s">
        <v>57</v>
      </c>
      <c r="D206" t="s">
        <v>127</v>
      </c>
      <c r="E206" t="s">
        <v>128</v>
      </c>
      <c r="F206" s="1">
        <v>1.7361111111111111E-5</v>
      </c>
      <c r="G206" t="s">
        <v>16</v>
      </c>
      <c r="H206">
        <v>4</v>
      </c>
      <c r="I206">
        <v>104</v>
      </c>
      <c r="J206">
        <v>108</v>
      </c>
      <c r="L206" t="s">
        <v>17</v>
      </c>
      <c r="M206" s="3">
        <f t="shared" si="30"/>
        <v>1.5099998563528061</v>
      </c>
    </row>
    <row r="207" spans="1:13" x14ac:dyDescent="0.25">
      <c r="A207" t="s">
        <v>78</v>
      </c>
      <c r="B207">
        <v>6</v>
      </c>
      <c r="C207" t="s">
        <v>57</v>
      </c>
      <c r="D207" t="s">
        <v>129</v>
      </c>
      <c r="E207" t="s">
        <v>130</v>
      </c>
      <c r="F207" s="1">
        <v>1.3888888888888888E-5</v>
      </c>
      <c r="G207" t="s">
        <v>16</v>
      </c>
      <c r="H207">
        <v>4</v>
      </c>
      <c r="I207">
        <v>104</v>
      </c>
      <c r="J207">
        <v>108</v>
      </c>
      <c r="L207" t="s">
        <v>17</v>
      </c>
      <c r="M207" s="3">
        <f t="shared" si="30"/>
        <v>1.203999831341207</v>
      </c>
    </row>
    <row r="208" spans="1:13" x14ac:dyDescent="0.25">
      <c r="A208" t="s">
        <v>78</v>
      </c>
      <c r="B208">
        <v>7</v>
      </c>
      <c r="C208" t="s">
        <v>57</v>
      </c>
      <c r="D208" t="s">
        <v>131</v>
      </c>
      <c r="E208" t="s">
        <v>132</v>
      </c>
      <c r="F208" s="1">
        <v>1.8518518518518518E-5</v>
      </c>
      <c r="G208" t="s">
        <v>16</v>
      </c>
      <c r="H208">
        <v>4</v>
      </c>
      <c r="I208">
        <v>104</v>
      </c>
      <c r="J208">
        <v>108</v>
      </c>
      <c r="L208" t="s">
        <v>17</v>
      </c>
      <c r="M208" s="3">
        <f t="shared" si="30"/>
        <v>1.5509999357163906</v>
      </c>
    </row>
    <row r="209" spans="1:13" x14ac:dyDescent="0.25">
      <c r="A209" t="s">
        <v>78</v>
      </c>
      <c r="B209">
        <v>8</v>
      </c>
      <c r="C209" t="s">
        <v>57</v>
      </c>
      <c r="D209" t="s">
        <v>133</v>
      </c>
      <c r="E209" t="s">
        <v>134</v>
      </c>
      <c r="F209" s="1">
        <v>1.5046296296296297E-5</v>
      </c>
      <c r="G209" t="s">
        <v>16</v>
      </c>
      <c r="H209">
        <v>4</v>
      </c>
      <c r="I209">
        <v>104</v>
      </c>
      <c r="J209">
        <v>108</v>
      </c>
      <c r="L209" t="s">
        <v>17</v>
      </c>
      <c r="M209" s="3">
        <f t="shared" si="30"/>
        <v>1.345999538898468</v>
      </c>
    </row>
    <row r="210" spans="1:13" x14ac:dyDescent="0.25">
      <c r="A210" t="s">
        <v>78</v>
      </c>
      <c r="B210">
        <v>9</v>
      </c>
      <c r="C210" t="s">
        <v>57</v>
      </c>
      <c r="D210" t="s">
        <v>135</v>
      </c>
      <c r="E210" t="s">
        <v>136</v>
      </c>
      <c r="F210" s="1">
        <v>1.7361111111111111E-5</v>
      </c>
      <c r="G210" t="s">
        <v>16</v>
      </c>
      <c r="H210">
        <v>4</v>
      </c>
      <c r="I210">
        <v>104</v>
      </c>
      <c r="J210">
        <v>108</v>
      </c>
      <c r="L210" t="s">
        <v>17</v>
      </c>
      <c r="M210" s="3">
        <f t="shared" si="30"/>
        <v>1.5150000806897879</v>
      </c>
    </row>
    <row r="211" spans="1:13" x14ac:dyDescent="0.25">
      <c r="A211" t="s">
        <v>78</v>
      </c>
      <c r="B211">
        <v>10</v>
      </c>
      <c r="C211" t="s">
        <v>57</v>
      </c>
      <c r="D211" t="s">
        <v>137</v>
      </c>
      <c r="E211" t="s">
        <v>138</v>
      </c>
      <c r="F211" s="1">
        <v>1.3888888888888888E-5</v>
      </c>
      <c r="G211" t="s">
        <v>16</v>
      </c>
      <c r="H211">
        <v>4</v>
      </c>
      <c r="I211">
        <v>104</v>
      </c>
      <c r="J211">
        <v>108</v>
      </c>
      <c r="L211" t="s">
        <v>17</v>
      </c>
      <c r="M211" s="3">
        <f t="shared" si="30"/>
        <v>1.2390001444146037</v>
      </c>
    </row>
    <row r="212" spans="1:13" x14ac:dyDescent="0.25">
      <c r="A212" t="s">
        <v>139</v>
      </c>
      <c r="B212">
        <v>1</v>
      </c>
      <c r="C212" t="s">
        <v>13</v>
      </c>
      <c r="D212" t="s">
        <v>140</v>
      </c>
      <c r="E212" t="s">
        <v>141</v>
      </c>
      <c r="F212" s="1">
        <v>1.6203703703703704E-5</v>
      </c>
      <c r="G212" t="s">
        <v>16</v>
      </c>
      <c r="H212">
        <v>2</v>
      </c>
      <c r="I212">
        <v>67</v>
      </c>
      <c r="J212">
        <v>69</v>
      </c>
      <c r="L212" t="s">
        <v>17</v>
      </c>
      <c r="M212" s="3">
        <f t="shared" si="30"/>
        <v>1.3720002025365829</v>
      </c>
    </row>
    <row r="213" spans="1:13" x14ac:dyDescent="0.25">
      <c r="A213" t="s">
        <v>139</v>
      </c>
      <c r="B213">
        <v>2</v>
      </c>
      <c r="C213" t="s">
        <v>13</v>
      </c>
      <c r="D213" t="s">
        <v>142</v>
      </c>
      <c r="E213" t="s">
        <v>143</v>
      </c>
      <c r="F213" s="1">
        <v>1.5046296296296297E-5</v>
      </c>
      <c r="G213" t="s">
        <v>16</v>
      </c>
      <c r="H213">
        <v>2</v>
      </c>
      <c r="I213">
        <v>67</v>
      </c>
      <c r="J213">
        <v>69</v>
      </c>
      <c r="L213" t="s">
        <v>17</v>
      </c>
      <c r="M213" s="3">
        <f t="shared" si="30"/>
        <v>1.2759995413944125</v>
      </c>
    </row>
    <row r="214" spans="1:13" x14ac:dyDescent="0.25">
      <c r="A214" t="s">
        <v>139</v>
      </c>
      <c r="B214">
        <v>3</v>
      </c>
      <c r="C214" t="s">
        <v>13</v>
      </c>
      <c r="D214" t="s">
        <v>144</v>
      </c>
      <c r="E214" t="s">
        <v>145</v>
      </c>
      <c r="F214" s="1">
        <v>1.3888888888888888E-5</v>
      </c>
      <c r="G214" t="s">
        <v>16</v>
      </c>
      <c r="H214">
        <v>2</v>
      </c>
      <c r="I214">
        <v>67</v>
      </c>
      <c r="J214">
        <v>69</v>
      </c>
      <c r="L214" t="s">
        <v>17</v>
      </c>
      <c r="M214" s="3">
        <f t="shared" si="30"/>
        <v>1.2099995976313949</v>
      </c>
    </row>
    <row r="215" spans="1:13" x14ac:dyDescent="0.25">
      <c r="A215" t="s">
        <v>139</v>
      </c>
      <c r="B215">
        <v>4</v>
      </c>
      <c r="C215" t="s">
        <v>13</v>
      </c>
      <c r="D215" t="s">
        <v>146</v>
      </c>
      <c r="E215" t="s">
        <v>147</v>
      </c>
      <c r="F215" s="1">
        <v>1.2731481481481482E-5</v>
      </c>
      <c r="G215" t="s">
        <v>16</v>
      </c>
      <c r="H215">
        <v>2</v>
      </c>
      <c r="I215">
        <v>67</v>
      </c>
      <c r="J215">
        <v>69</v>
      </c>
      <c r="L215" t="s">
        <v>17</v>
      </c>
      <c r="M215" s="3">
        <f t="shared" si="30"/>
        <v>1.1369997169822454</v>
      </c>
    </row>
    <row r="216" spans="1:13" x14ac:dyDescent="0.25">
      <c r="A216" t="s">
        <v>139</v>
      </c>
      <c r="B216">
        <v>5</v>
      </c>
      <c r="C216" t="s">
        <v>13</v>
      </c>
      <c r="D216" t="s">
        <v>148</v>
      </c>
      <c r="E216" t="s">
        <v>149</v>
      </c>
      <c r="F216" s="1">
        <v>1.5046296296296297E-5</v>
      </c>
      <c r="G216" t="s">
        <v>16</v>
      </c>
      <c r="H216">
        <v>2</v>
      </c>
      <c r="I216">
        <v>67</v>
      </c>
      <c r="J216">
        <v>69</v>
      </c>
      <c r="L216" t="s">
        <v>17</v>
      </c>
      <c r="M216" s="3">
        <f t="shared" si="30"/>
        <v>1.2499995063990355</v>
      </c>
    </row>
    <row r="217" spans="1:13" x14ac:dyDescent="0.25">
      <c r="A217" t="s">
        <v>139</v>
      </c>
      <c r="B217">
        <v>6</v>
      </c>
      <c r="C217" t="s">
        <v>13</v>
      </c>
      <c r="D217" t="s">
        <v>150</v>
      </c>
      <c r="E217" t="s">
        <v>151</v>
      </c>
      <c r="F217" s="1">
        <v>1.2731481481481482E-5</v>
      </c>
      <c r="G217" t="s">
        <v>16</v>
      </c>
      <c r="H217">
        <v>2</v>
      </c>
      <c r="I217">
        <v>67</v>
      </c>
      <c r="J217">
        <v>69</v>
      </c>
      <c r="L217" t="s">
        <v>17</v>
      </c>
      <c r="M217" s="3">
        <f t="shared" si="30"/>
        <v>1.1320001212880015</v>
      </c>
    </row>
    <row r="218" spans="1:13" x14ac:dyDescent="0.25">
      <c r="A218" t="s">
        <v>139</v>
      </c>
      <c r="B218">
        <v>7</v>
      </c>
      <c r="C218" t="s">
        <v>13</v>
      </c>
      <c r="D218" t="s">
        <v>152</v>
      </c>
      <c r="E218" t="s">
        <v>153</v>
      </c>
      <c r="F218" s="1">
        <v>1.5046296296296297E-5</v>
      </c>
      <c r="G218" t="s">
        <v>16</v>
      </c>
      <c r="H218">
        <v>2</v>
      </c>
      <c r="I218">
        <v>67</v>
      </c>
      <c r="J218">
        <v>69</v>
      </c>
      <c r="L218" t="s">
        <v>17</v>
      </c>
      <c r="M218" s="3">
        <f t="shared" si="30"/>
        <v>1.2519998475909233</v>
      </c>
    </row>
    <row r="219" spans="1:13" x14ac:dyDescent="0.25">
      <c r="A219" t="s">
        <v>139</v>
      </c>
      <c r="B219">
        <v>8</v>
      </c>
      <c r="C219" t="s">
        <v>13</v>
      </c>
      <c r="D219" t="s">
        <v>154</v>
      </c>
      <c r="E219" t="s">
        <v>155</v>
      </c>
      <c r="F219" s="1">
        <v>1.3888888888888888E-5</v>
      </c>
      <c r="G219" t="s">
        <v>16</v>
      </c>
      <c r="H219">
        <v>2</v>
      </c>
      <c r="I219">
        <v>67</v>
      </c>
      <c r="J219">
        <v>69</v>
      </c>
      <c r="L219" t="s">
        <v>17</v>
      </c>
      <c r="M219" s="3">
        <f t="shared" si="30"/>
        <v>1.2250002706423402</v>
      </c>
    </row>
    <row r="220" spans="1:13" x14ac:dyDescent="0.25">
      <c r="A220" t="s">
        <v>139</v>
      </c>
      <c r="B220">
        <v>9</v>
      </c>
      <c r="C220" t="s">
        <v>13</v>
      </c>
      <c r="D220" t="s">
        <v>156</v>
      </c>
      <c r="E220" t="s">
        <v>157</v>
      </c>
      <c r="F220" s="1">
        <v>1.5046296296296297E-5</v>
      </c>
      <c r="G220" t="s">
        <v>16</v>
      </c>
      <c r="H220">
        <v>2</v>
      </c>
      <c r="I220">
        <v>67</v>
      </c>
      <c r="J220">
        <v>69</v>
      </c>
      <c r="L220" t="s">
        <v>17</v>
      </c>
      <c r="M220" s="3">
        <f t="shared" si="30"/>
        <v>1.343000284396112</v>
      </c>
    </row>
    <row r="221" spans="1:13" x14ac:dyDescent="0.25">
      <c r="A221" t="s">
        <v>139</v>
      </c>
      <c r="B221">
        <v>10</v>
      </c>
      <c r="C221" t="s">
        <v>13</v>
      </c>
      <c r="D221" t="s">
        <v>158</v>
      </c>
      <c r="E221" t="s">
        <v>159</v>
      </c>
      <c r="F221" s="1">
        <v>1.9675925925925925E-5</v>
      </c>
      <c r="G221" t="s">
        <v>16</v>
      </c>
      <c r="H221">
        <v>2</v>
      </c>
      <c r="I221">
        <v>67</v>
      </c>
      <c r="J221">
        <v>69</v>
      </c>
      <c r="L221" t="s">
        <v>17</v>
      </c>
      <c r="M221" s="3">
        <f t="shared" si="30"/>
        <v>1.0729994857683778</v>
      </c>
    </row>
    <row r="222" spans="1:13" x14ac:dyDescent="0.25">
      <c r="A222" t="s">
        <v>139</v>
      </c>
      <c r="B222">
        <v>1</v>
      </c>
      <c r="C222" t="s">
        <v>36</v>
      </c>
      <c r="D222" t="s">
        <v>160</v>
      </c>
      <c r="E222" t="s">
        <v>161</v>
      </c>
      <c r="F222" s="1">
        <v>1.5046296296296297E-5</v>
      </c>
      <c r="G222" t="s">
        <v>16</v>
      </c>
      <c r="H222">
        <v>2</v>
      </c>
      <c r="I222">
        <v>161</v>
      </c>
      <c r="J222">
        <v>163</v>
      </c>
      <c r="L222" t="s">
        <v>17</v>
      </c>
      <c r="M222" s="3">
        <f t="shared" si="30"/>
        <v>1.2519998475909233</v>
      </c>
    </row>
    <row r="223" spans="1:13" x14ac:dyDescent="0.25">
      <c r="A223" t="s">
        <v>139</v>
      </c>
      <c r="B223">
        <v>2</v>
      </c>
      <c r="C223" t="s">
        <v>36</v>
      </c>
      <c r="D223" t="s">
        <v>162</v>
      </c>
      <c r="E223" t="s">
        <v>163</v>
      </c>
      <c r="F223" s="1">
        <v>1.8518518518518518E-5</v>
      </c>
      <c r="G223" t="s">
        <v>16</v>
      </c>
      <c r="H223">
        <v>2</v>
      </c>
      <c r="I223">
        <v>161</v>
      </c>
      <c r="J223">
        <v>163</v>
      </c>
      <c r="L223" t="s">
        <v>17</v>
      </c>
      <c r="M223" s="3">
        <f t="shared" si="30"/>
        <v>1.5640002675354481</v>
      </c>
    </row>
    <row r="224" spans="1:13" x14ac:dyDescent="0.25">
      <c r="A224" t="s">
        <v>139</v>
      </c>
      <c r="B224">
        <v>3</v>
      </c>
      <c r="C224" t="s">
        <v>36</v>
      </c>
      <c r="D224" t="s">
        <v>164</v>
      </c>
      <c r="E224" t="s">
        <v>165</v>
      </c>
      <c r="F224" s="1">
        <v>1.5046296296296297E-5</v>
      </c>
      <c r="G224" t="s">
        <v>16</v>
      </c>
      <c r="H224">
        <v>2</v>
      </c>
      <c r="I224">
        <v>161</v>
      </c>
      <c r="J224">
        <v>163</v>
      </c>
      <c r="L224" t="s">
        <v>17</v>
      </c>
      <c r="M224" s="3">
        <f t="shared" si="30"/>
        <v>1.3109998544678092</v>
      </c>
    </row>
    <row r="225" spans="1:13" x14ac:dyDescent="0.25">
      <c r="A225" t="s">
        <v>139</v>
      </c>
      <c r="B225">
        <v>4</v>
      </c>
      <c r="C225" t="s">
        <v>36</v>
      </c>
      <c r="D225" t="s">
        <v>166</v>
      </c>
      <c r="E225" t="s">
        <v>167</v>
      </c>
      <c r="F225" s="1">
        <v>1.3888888888888888E-5</v>
      </c>
      <c r="G225" t="s">
        <v>16</v>
      </c>
      <c r="H225">
        <v>2</v>
      </c>
      <c r="I225">
        <v>161</v>
      </c>
      <c r="J225">
        <v>163</v>
      </c>
      <c r="L225" t="s">
        <v>17</v>
      </c>
      <c r="M225" s="3">
        <f t="shared" si="30"/>
        <v>1.1950001819059253</v>
      </c>
    </row>
    <row r="226" spans="1:13" x14ac:dyDescent="0.25">
      <c r="A226" t="s">
        <v>139</v>
      </c>
      <c r="B226">
        <v>5</v>
      </c>
      <c r="C226" t="s">
        <v>36</v>
      </c>
      <c r="D226" t="s">
        <v>168</v>
      </c>
      <c r="E226" t="s">
        <v>169</v>
      </c>
      <c r="F226" s="1">
        <v>1.3888888888888888E-5</v>
      </c>
      <c r="G226" t="s">
        <v>16</v>
      </c>
      <c r="H226">
        <v>2</v>
      </c>
      <c r="I226">
        <v>161</v>
      </c>
      <c r="J226">
        <v>163</v>
      </c>
      <c r="L226" t="s">
        <v>17</v>
      </c>
      <c r="M226" s="3">
        <f t="shared" si="30"/>
        <v>1.1789999669417739</v>
      </c>
    </row>
    <row r="227" spans="1:13" x14ac:dyDescent="0.25">
      <c r="A227" t="s">
        <v>139</v>
      </c>
      <c r="B227">
        <v>6</v>
      </c>
      <c r="C227" t="s">
        <v>36</v>
      </c>
      <c r="D227" t="s">
        <v>170</v>
      </c>
      <c r="E227" t="s">
        <v>171</v>
      </c>
      <c r="F227" s="1">
        <v>1.5046296296296297E-5</v>
      </c>
      <c r="G227" t="s">
        <v>16</v>
      </c>
      <c r="H227">
        <v>2</v>
      </c>
      <c r="I227">
        <v>161</v>
      </c>
      <c r="J227">
        <v>163</v>
      </c>
      <c r="L227" t="s">
        <v>17</v>
      </c>
      <c r="M227" s="3">
        <f t="shared" si="30"/>
        <v>1.2760001700371504</v>
      </c>
    </row>
    <row r="228" spans="1:13" x14ac:dyDescent="0.25">
      <c r="A228" t="s">
        <v>139</v>
      </c>
      <c r="B228">
        <v>7</v>
      </c>
      <c r="C228" t="s">
        <v>36</v>
      </c>
      <c r="D228" t="s">
        <v>172</v>
      </c>
      <c r="E228" t="s">
        <v>173</v>
      </c>
      <c r="F228" s="1">
        <v>1.6203703703703704E-5</v>
      </c>
      <c r="G228" t="s">
        <v>16</v>
      </c>
      <c r="H228">
        <v>2</v>
      </c>
      <c r="I228">
        <v>161</v>
      </c>
      <c r="J228">
        <v>163</v>
      </c>
      <c r="L228" t="s">
        <v>17</v>
      </c>
      <c r="M228" s="3">
        <f t="shared" si="30"/>
        <v>1.3979996088892221</v>
      </c>
    </row>
    <row r="229" spans="1:13" x14ac:dyDescent="0.25">
      <c r="A229" t="s">
        <v>139</v>
      </c>
      <c r="B229">
        <v>8</v>
      </c>
      <c r="C229" t="s">
        <v>36</v>
      </c>
      <c r="D229" t="s">
        <v>174</v>
      </c>
      <c r="E229" t="s">
        <v>175</v>
      </c>
      <c r="F229" s="1">
        <v>1.3888888888888888E-5</v>
      </c>
      <c r="G229" t="s">
        <v>16</v>
      </c>
      <c r="H229">
        <v>2</v>
      </c>
      <c r="I229">
        <v>161</v>
      </c>
      <c r="J229">
        <v>163</v>
      </c>
      <c r="L229" t="s">
        <v>17</v>
      </c>
      <c r="M229" s="3">
        <f t="shared" si="30"/>
        <v>1.1880002450197935</v>
      </c>
    </row>
    <row r="230" spans="1:13" x14ac:dyDescent="0.25">
      <c r="A230" t="s">
        <v>139</v>
      </c>
      <c r="B230">
        <v>9</v>
      </c>
      <c r="C230" t="s">
        <v>36</v>
      </c>
      <c r="D230" t="s">
        <v>176</v>
      </c>
      <c r="E230" t="s">
        <v>177</v>
      </c>
      <c r="F230" s="1">
        <v>2.199074074074074E-5</v>
      </c>
      <c r="G230" t="s">
        <v>16</v>
      </c>
      <c r="H230">
        <v>2</v>
      </c>
      <c r="I230">
        <v>161</v>
      </c>
      <c r="J230">
        <v>163</v>
      </c>
      <c r="L230" t="s">
        <v>17</v>
      </c>
      <c r="M230" s="3">
        <f t="shared" si="30"/>
        <v>1.0899998713284731</v>
      </c>
    </row>
    <row r="231" spans="1:13" x14ac:dyDescent="0.25">
      <c r="A231" t="s">
        <v>139</v>
      </c>
      <c r="B231">
        <v>10</v>
      </c>
      <c r="C231" t="s">
        <v>36</v>
      </c>
      <c r="D231" t="s">
        <v>178</v>
      </c>
      <c r="E231" t="s">
        <v>179</v>
      </c>
      <c r="F231" s="1">
        <v>1.5046296296296297E-5</v>
      </c>
      <c r="G231" t="s">
        <v>16</v>
      </c>
      <c r="H231">
        <v>2</v>
      </c>
      <c r="I231">
        <v>161</v>
      </c>
      <c r="J231">
        <v>163</v>
      </c>
      <c r="L231" t="s">
        <v>17</v>
      </c>
      <c r="M231" s="3">
        <f t="shared" si="30"/>
        <v>1.2880003312602639</v>
      </c>
    </row>
    <row r="232" spans="1:13" x14ac:dyDescent="0.25">
      <c r="A232" t="s">
        <v>139</v>
      </c>
      <c r="B232">
        <v>1</v>
      </c>
      <c r="C232" t="s">
        <v>57</v>
      </c>
      <c r="D232" t="s">
        <v>180</v>
      </c>
      <c r="E232" t="s">
        <v>181</v>
      </c>
      <c r="F232" s="1">
        <v>1.3888888888888888E-5</v>
      </c>
      <c r="G232" t="s">
        <v>16</v>
      </c>
      <c r="H232">
        <v>2</v>
      </c>
      <c r="I232">
        <v>94</v>
      </c>
      <c r="J232">
        <v>96</v>
      </c>
      <c r="L232" t="s">
        <v>17</v>
      </c>
      <c r="M232" s="3">
        <f t="shared" si="30"/>
        <v>1.1759994551539421</v>
      </c>
    </row>
    <row r="233" spans="1:13" x14ac:dyDescent="0.25">
      <c r="A233" t="s">
        <v>139</v>
      </c>
      <c r="B233">
        <v>2</v>
      </c>
      <c r="C233" t="s">
        <v>57</v>
      </c>
      <c r="D233" t="s">
        <v>182</v>
      </c>
      <c r="E233" t="s">
        <v>183</v>
      </c>
      <c r="F233" s="1">
        <v>1.3888888888888888E-5</v>
      </c>
      <c r="G233" t="s">
        <v>16</v>
      </c>
      <c r="H233">
        <v>2</v>
      </c>
      <c r="I233">
        <v>94</v>
      </c>
      <c r="J233">
        <v>96</v>
      </c>
      <c r="L233" t="s">
        <v>17</v>
      </c>
      <c r="M233" s="3">
        <f t="shared" si="30"/>
        <v>1.1669998057186604</v>
      </c>
    </row>
    <row r="234" spans="1:13" x14ac:dyDescent="0.25">
      <c r="A234" t="s">
        <v>139</v>
      </c>
      <c r="B234">
        <v>3</v>
      </c>
      <c r="C234" t="s">
        <v>57</v>
      </c>
      <c r="D234" t="s">
        <v>184</v>
      </c>
      <c r="E234" t="s">
        <v>185</v>
      </c>
      <c r="F234" s="1">
        <v>1.3888888888888888E-5</v>
      </c>
      <c r="G234" t="s">
        <v>16</v>
      </c>
      <c r="H234">
        <v>2</v>
      </c>
      <c r="I234">
        <v>94</v>
      </c>
      <c r="J234">
        <v>96</v>
      </c>
      <c r="L234" t="s">
        <v>17</v>
      </c>
      <c r="M234" s="3">
        <f t="shared" si="30"/>
        <v>1.2080005137249827</v>
      </c>
    </row>
    <row r="235" spans="1:13" x14ac:dyDescent="0.25">
      <c r="A235" t="s">
        <v>139</v>
      </c>
      <c r="B235">
        <v>4</v>
      </c>
      <c r="C235" t="s">
        <v>57</v>
      </c>
      <c r="D235" t="s">
        <v>186</v>
      </c>
      <c r="E235" t="s">
        <v>187</v>
      </c>
      <c r="F235" s="1">
        <v>1.2731481481481482E-5</v>
      </c>
      <c r="G235" t="s">
        <v>16</v>
      </c>
      <c r="H235">
        <v>2</v>
      </c>
      <c r="I235">
        <v>94</v>
      </c>
      <c r="J235">
        <v>96</v>
      </c>
      <c r="L235" t="s">
        <v>17</v>
      </c>
      <c r="M235" s="3">
        <f t="shared" si="30"/>
        <v>1.1149997357279062</v>
      </c>
    </row>
    <row r="236" spans="1:13" x14ac:dyDescent="0.25">
      <c r="A236" t="s">
        <v>139</v>
      </c>
      <c r="B236">
        <v>5</v>
      </c>
      <c r="C236" t="s">
        <v>57</v>
      </c>
      <c r="D236" t="s">
        <v>188</v>
      </c>
      <c r="E236" t="s">
        <v>189</v>
      </c>
      <c r="F236" s="1">
        <v>1.3888888888888888E-5</v>
      </c>
      <c r="G236" t="s">
        <v>16</v>
      </c>
      <c r="H236">
        <v>2</v>
      </c>
      <c r="I236">
        <v>94</v>
      </c>
      <c r="J236">
        <v>96</v>
      </c>
      <c r="L236" t="s">
        <v>17</v>
      </c>
      <c r="M236" s="3">
        <f t="shared" si="30"/>
        <v>1.1510002193972468</v>
      </c>
    </row>
    <row r="237" spans="1:13" x14ac:dyDescent="0.25">
      <c r="A237" t="s">
        <v>139</v>
      </c>
      <c r="B237">
        <v>6</v>
      </c>
      <c r="C237" t="s">
        <v>57</v>
      </c>
      <c r="D237" t="s">
        <v>190</v>
      </c>
      <c r="E237" t="s">
        <v>191</v>
      </c>
      <c r="F237" s="1">
        <v>1.9675925925925925E-5</v>
      </c>
      <c r="G237" t="s">
        <v>16</v>
      </c>
      <c r="H237">
        <v>2</v>
      </c>
      <c r="I237">
        <v>94</v>
      </c>
      <c r="J237">
        <v>96</v>
      </c>
      <c r="L237" t="s">
        <v>17</v>
      </c>
      <c r="M237" s="3">
        <f t="shared" si="30"/>
        <v>1.0740002850070596</v>
      </c>
    </row>
    <row r="238" spans="1:13" x14ac:dyDescent="0.25">
      <c r="A238" t="s">
        <v>139</v>
      </c>
      <c r="B238">
        <v>7</v>
      </c>
      <c r="C238" t="s">
        <v>57</v>
      </c>
      <c r="D238" t="s">
        <v>192</v>
      </c>
      <c r="E238" t="s">
        <v>193</v>
      </c>
      <c r="F238" s="1">
        <v>1.2731481481481482E-5</v>
      </c>
      <c r="G238" t="s">
        <v>16</v>
      </c>
      <c r="H238">
        <v>2</v>
      </c>
      <c r="I238">
        <v>94</v>
      </c>
      <c r="J238">
        <v>96</v>
      </c>
      <c r="L238" t="s">
        <v>17</v>
      </c>
      <c r="M238" s="3">
        <f t="shared" si="30"/>
        <v>1.0009997757151723</v>
      </c>
    </row>
    <row r="239" spans="1:13" x14ac:dyDescent="0.25">
      <c r="A239" t="s">
        <v>139</v>
      </c>
      <c r="B239">
        <v>8</v>
      </c>
      <c r="C239" t="s">
        <v>57</v>
      </c>
      <c r="D239" t="s">
        <v>194</v>
      </c>
      <c r="E239" t="s">
        <v>195</v>
      </c>
      <c r="F239" s="1">
        <v>1.2731481481481482E-5</v>
      </c>
      <c r="G239" t="s">
        <v>16</v>
      </c>
      <c r="H239">
        <v>2</v>
      </c>
      <c r="I239">
        <v>94</v>
      </c>
      <c r="J239">
        <v>96</v>
      </c>
      <c r="L239" t="s">
        <v>17</v>
      </c>
      <c r="M239" s="3">
        <f t="shared" si="30"/>
        <v>1.1390000581741333</v>
      </c>
    </row>
    <row r="240" spans="1:13" x14ac:dyDescent="0.25">
      <c r="A240" t="s">
        <v>139</v>
      </c>
      <c r="B240">
        <v>9</v>
      </c>
      <c r="C240" t="s">
        <v>57</v>
      </c>
      <c r="D240" t="s">
        <v>196</v>
      </c>
      <c r="E240" t="s">
        <v>197</v>
      </c>
      <c r="F240" s="1">
        <v>1.3888888888888888E-5</v>
      </c>
      <c r="G240" t="s">
        <v>16</v>
      </c>
      <c r="H240">
        <v>2</v>
      </c>
      <c r="I240">
        <v>94</v>
      </c>
      <c r="J240">
        <v>96</v>
      </c>
      <c r="L240" t="s">
        <v>17</v>
      </c>
      <c r="M240" s="3">
        <f t="shared" si="30"/>
        <v>1.1999997776001692</v>
      </c>
    </row>
    <row r="241" spans="1:13" x14ac:dyDescent="0.25">
      <c r="A241" t="s">
        <v>139</v>
      </c>
      <c r="B241">
        <v>10</v>
      </c>
      <c r="C241" t="s">
        <v>57</v>
      </c>
      <c r="D241" t="s">
        <v>198</v>
      </c>
      <c r="E241" t="s">
        <v>199</v>
      </c>
      <c r="F241" s="1">
        <v>1.3888888888888888E-5</v>
      </c>
      <c r="G241" t="s">
        <v>16</v>
      </c>
      <c r="H241">
        <v>2</v>
      </c>
      <c r="I241">
        <v>94</v>
      </c>
      <c r="J241">
        <v>96</v>
      </c>
      <c r="L241" t="s">
        <v>17</v>
      </c>
      <c r="M241" s="3">
        <f t="shared" si="30"/>
        <v>1.2439997401088476</v>
      </c>
    </row>
    <row r="242" spans="1:13" x14ac:dyDescent="0.25">
      <c r="A242" t="s">
        <v>200</v>
      </c>
      <c r="B242">
        <v>1</v>
      </c>
      <c r="C242" t="s">
        <v>13</v>
      </c>
      <c r="D242" t="s">
        <v>201</v>
      </c>
      <c r="E242" t="s">
        <v>202</v>
      </c>
      <c r="F242" s="1">
        <v>1.5046296296296297E-5</v>
      </c>
      <c r="G242" t="s">
        <v>16</v>
      </c>
      <c r="H242">
        <v>3</v>
      </c>
      <c r="I242">
        <v>67</v>
      </c>
      <c r="J242">
        <v>70</v>
      </c>
      <c r="L242" t="s">
        <v>17</v>
      </c>
      <c r="M242" s="3">
        <f t="shared" si="30"/>
        <v>1.3090001419186592</v>
      </c>
    </row>
    <row r="243" spans="1:13" x14ac:dyDescent="0.25">
      <c r="A243" t="s">
        <v>200</v>
      </c>
      <c r="B243">
        <v>2</v>
      </c>
      <c r="C243" t="s">
        <v>13</v>
      </c>
      <c r="D243" t="s">
        <v>203</v>
      </c>
      <c r="E243" t="s">
        <v>204</v>
      </c>
      <c r="F243" s="1">
        <v>1.9675925925925925E-5</v>
      </c>
      <c r="G243" t="s">
        <v>16</v>
      </c>
      <c r="H243">
        <v>3</v>
      </c>
      <c r="I243">
        <v>67</v>
      </c>
      <c r="J243">
        <v>70</v>
      </c>
      <c r="L243" t="s">
        <v>17</v>
      </c>
      <c r="M243" s="3">
        <f t="shared" si="30"/>
        <v>1.6829998232424259</v>
      </c>
    </row>
    <row r="244" spans="1:13" x14ac:dyDescent="0.25">
      <c r="A244" t="s">
        <v>200</v>
      </c>
      <c r="B244">
        <v>3</v>
      </c>
      <c r="C244" t="s">
        <v>13</v>
      </c>
      <c r="D244" t="s">
        <v>205</v>
      </c>
      <c r="E244" t="s">
        <v>206</v>
      </c>
      <c r="F244" s="1">
        <v>1.5046296296296297E-5</v>
      </c>
      <c r="G244" t="s">
        <v>16</v>
      </c>
      <c r="H244">
        <v>3</v>
      </c>
      <c r="I244">
        <v>67</v>
      </c>
      <c r="J244">
        <v>70</v>
      </c>
      <c r="L244" t="s">
        <v>17</v>
      </c>
      <c r="M244" s="3">
        <f t="shared" si="30"/>
        <v>1.28500044811517</v>
      </c>
    </row>
    <row r="245" spans="1:13" x14ac:dyDescent="0.25">
      <c r="A245" t="s">
        <v>200</v>
      </c>
      <c r="B245">
        <v>4</v>
      </c>
      <c r="C245" t="s">
        <v>13</v>
      </c>
      <c r="D245" t="s">
        <v>207</v>
      </c>
      <c r="E245" t="s">
        <v>208</v>
      </c>
      <c r="F245" s="1">
        <v>2.0833333333333333E-5</v>
      </c>
      <c r="G245" t="s">
        <v>16</v>
      </c>
      <c r="H245">
        <v>3</v>
      </c>
      <c r="I245">
        <v>67</v>
      </c>
      <c r="J245">
        <v>70</v>
      </c>
      <c r="L245" t="s">
        <v>17</v>
      </c>
      <c r="M245" s="3">
        <f t="shared" si="30"/>
        <v>1.763999811373651</v>
      </c>
    </row>
    <row r="246" spans="1:13" x14ac:dyDescent="0.25">
      <c r="A246" t="s">
        <v>200</v>
      </c>
      <c r="B246">
        <v>5</v>
      </c>
      <c r="C246" t="s">
        <v>13</v>
      </c>
      <c r="D246" t="s">
        <v>209</v>
      </c>
      <c r="E246" t="s">
        <v>210</v>
      </c>
      <c r="F246" s="1">
        <v>1.8518518518518518E-5</v>
      </c>
      <c r="G246" t="s">
        <v>16</v>
      </c>
      <c r="H246">
        <v>3</v>
      </c>
      <c r="I246">
        <v>67</v>
      </c>
      <c r="J246">
        <v>70</v>
      </c>
      <c r="L246" t="s">
        <v>17</v>
      </c>
      <c r="M246" s="3">
        <f t="shared" si="30"/>
        <v>1.5850000781938434</v>
      </c>
    </row>
    <row r="247" spans="1:13" x14ac:dyDescent="0.25">
      <c r="A247" t="s">
        <v>200</v>
      </c>
      <c r="B247">
        <v>6</v>
      </c>
      <c r="C247" t="s">
        <v>13</v>
      </c>
      <c r="D247" t="s">
        <v>211</v>
      </c>
      <c r="E247" t="s">
        <v>212</v>
      </c>
      <c r="F247" s="1">
        <v>1.5046296296296297E-5</v>
      </c>
      <c r="G247" t="s">
        <v>16</v>
      </c>
      <c r="H247">
        <v>3</v>
      </c>
      <c r="I247">
        <v>67</v>
      </c>
      <c r="J247">
        <v>70</v>
      </c>
      <c r="L247" t="s">
        <v>17</v>
      </c>
      <c r="M247" s="3">
        <f t="shared" si="30"/>
        <v>1.28700016066432</v>
      </c>
    </row>
    <row r="248" spans="1:13" x14ac:dyDescent="0.25">
      <c r="A248" t="s">
        <v>200</v>
      </c>
      <c r="B248">
        <v>7</v>
      </c>
      <c r="C248" t="s">
        <v>13</v>
      </c>
      <c r="D248" t="s">
        <v>213</v>
      </c>
      <c r="E248" t="s">
        <v>214</v>
      </c>
      <c r="F248" s="1">
        <v>1.9675925925925925E-5</v>
      </c>
      <c r="G248" t="s">
        <v>16</v>
      </c>
      <c r="H248">
        <v>3</v>
      </c>
      <c r="I248">
        <v>67</v>
      </c>
      <c r="J248">
        <v>70</v>
      </c>
      <c r="L248" t="s">
        <v>17</v>
      </c>
      <c r="M248" s="3">
        <f t="shared" si="30"/>
        <v>1.6700001200661063</v>
      </c>
    </row>
    <row r="249" spans="1:13" x14ac:dyDescent="0.25">
      <c r="A249" t="s">
        <v>200</v>
      </c>
      <c r="B249">
        <v>8</v>
      </c>
      <c r="C249" t="s">
        <v>13</v>
      </c>
      <c r="D249" t="s">
        <v>215</v>
      </c>
      <c r="E249" t="s">
        <v>216</v>
      </c>
      <c r="F249" s="1">
        <v>1.5046296296296297E-5</v>
      </c>
      <c r="G249" t="s">
        <v>16</v>
      </c>
      <c r="H249">
        <v>3</v>
      </c>
      <c r="I249">
        <v>67</v>
      </c>
      <c r="J249">
        <v>70</v>
      </c>
      <c r="L249" t="s">
        <v>17</v>
      </c>
      <c r="M249" s="3">
        <f t="shared" si="30"/>
        <v>1.3020002050325274</v>
      </c>
    </row>
    <row r="250" spans="1:13" x14ac:dyDescent="0.25">
      <c r="A250" t="s">
        <v>200</v>
      </c>
      <c r="B250">
        <v>9</v>
      </c>
      <c r="C250" t="s">
        <v>13</v>
      </c>
      <c r="D250" t="s">
        <v>217</v>
      </c>
      <c r="E250" t="s">
        <v>218</v>
      </c>
      <c r="F250" s="1">
        <v>1.3888888888888888E-5</v>
      </c>
      <c r="G250" t="s">
        <v>16</v>
      </c>
      <c r="H250">
        <v>3</v>
      </c>
      <c r="I250">
        <v>67</v>
      </c>
      <c r="J250">
        <v>70</v>
      </c>
      <c r="L250" t="s">
        <v>17</v>
      </c>
      <c r="M250" s="3">
        <f t="shared" si="30"/>
        <v>1.2460000813007355</v>
      </c>
    </row>
    <row r="251" spans="1:13" x14ac:dyDescent="0.25">
      <c r="A251" t="s">
        <v>200</v>
      </c>
      <c r="B251">
        <v>10</v>
      </c>
      <c r="C251" t="s">
        <v>13</v>
      </c>
      <c r="D251" t="s">
        <v>219</v>
      </c>
      <c r="E251" t="s">
        <v>220</v>
      </c>
      <c r="F251" s="1">
        <v>1.6203703703703704E-5</v>
      </c>
      <c r="G251" t="s">
        <v>16</v>
      </c>
      <c r="H251">
        <v>3</v>
      </c>
      <c r="I251">
        <v>67</v>
      </c>
      <c r="J251">
        <v>70</v>
      </c>
      <c r="L251" t="s">
        <v>17</v>
      </c>
      <c r="M251" s="3">
        <f t="shared" si="30"/>
        <v>1.3589998707175255</v>
      </c>
    </row>
    <row r="252" spans="1:13" x14ac:dyDescent="0.25">
      <c r="A252" t="s">
        <v>200</v>
      </c>
      <c r="B252">
        <v>1</v>
      </c>
      <c r="C252" t="s">
        <v>36</v>
      </c>
      <c r="D252" t="s">
        <v>221</v>
      </c>
      <c r="E252" t="s">
        <v>222</v>
      </c>
      <c r="F252" s="1">
        <v>1.6203703703703704E-5</v>
      </c>
      <c r="G252" t="s">
        <v>16</v>
      </c>
      <c r="H252">
        <v>3</v>
      </c>
      <c r="I252">
        <v>139</v>
      </c>
      <c r="J252">
        <v>142</v>
      </c>
      <c r="L252" t="s">
        <v>17</v>
      </c>
      <c r="M252" s="3">
        <f t="shared" si="30"/>
        <v>1.4169997069984674</v>
      </c>
    </row>
    <row r="253" spans="1:13" x14ac:dyDescent="0.25">
      <c r="A253" t="s">
        <v>200</v>
      </c>
      <c r="B253">
        <v>2</v>
      </c>
      <c r="C253" t="s">
        <v>36</v>
      </c>
      <c r="D253" t="s">
        <v>223</v>
      </c>
      <c r="E253" t="s">
        <v>224</v>
      </c>
      <c r="F253" s="1">
        <v>1.5046296296296297E-5</v>
      </c>
      <c r="G253" t="s">
        <v>16</v>
      </c>
      <c r="H253">
        <v>3</v>
      </c>
      <c r="I253">
        <v>139</v>
      </c>
      <c r="J253">
        <v>142</v>
      </c>
      <c r="L253" t="s">
        <v>17</v>
      </c>
      <c r="M253" s="3">
        <f t="shared" si="30"/>
        <v>1.3440004549920559</v>
      </c>
    </row>
    <row r="254" spans="1:13" x14ac:dyDescent="0.25">
      <c r="A254" t="s">
        <v>200</v>
      </c>
      <c r="B254">
        <v>3</v>
      </c>
      <c r="C254" t="s">
        <v>36</v>
      </c>
      <c r="D254" t="s">
        <v>225</v>
      </c>
      <c r="E254" t="s">
        <v>226</v>
      </c>
      <c r="F254" s="1">
        <v>1.5046296296296297E-5</v>
      </c>
      <c r="G254" t="s">
        <v>16</v>
      </c>
      <c r="H254">
        <v>3</v>
      </c>
      <c r="I254">
        <v>139</v>
      </c>
      <c r="J254">
        <v>142</v>
      </c>
      <c r="L254" t="s">
        <v>17</v>
      </c>
      <c r="M254" s="3">
        <f t="shared" si="30"/>
        <v>1.2680000625550747</v>
      </c>
    </row>
    <row r="255" spans="1:13" x14ac:dyDescent="0.25">
      <c r="A255" t="s">
        <v>200</v>
      </c>
      <c r="B255">
        <v>4</v>
      </c>
      <c r="C255" t="s">
        <v>36</v>
      </c>
      <c r="D255" t="s">
        <v>227</v>
      </c>
      <c r="E255" t="s">
        <v>228</v>
      </c>
      <c r="F255" s="1">
        <v>2.199074074074074E-5</v>
      </c>
      <c r="G255" t="s">
        <v>16</v>
      </c>
      <c r="H255">
        <v>3</v>
      </c>
      <c r="I255">
        <v>139</v>
      </c>
      <c r="J255">
        <v>142</v>
      </c>
      <c r="L255" t="s">
        <v>17</v>
      </c>
      <c r="M255" s="3">
        <f t="shared" si="30"/>
        <v>1.934999437071383</v>
      </c>
    </row>
    <row r="256" spans="1:13" x14ac:dyDescent="0.25">
      <c r="A256" t="s">
        <v>200</v>
      </c>
      <c r="B256">
        <v>5</v>
      </c>
      <c r="C256" t="s">
        <v>36</v>
      </c>
      <c r="D256" t="s">
        <v>229</v>
      </c>
      <c r="E256" t="s">
        <v>230</v>
      </c>
      <c r="F256" s="1">
        <v>1.5046296296296297E-5</v>
      </c>
      <c r="G256" t="s">
        <v>16</v>
      </c>
      <c r="H256">
        <v>3</v>
      </c>
      <c r="I256">
        <v>139</v>
      </c>
      <c r="J256">
        <v>142</v>
      </c>
      <c r="L256" t="s">
        <v>17</v>
      </c>
      <c r="M256" s="3">
        <f t="shared" si="30"/>
        <v>1.3240001862868667</v>
      </c>
    </row>
    <row r="257" spans="1:13" x14ac:dyDescent="0.25">
      <c r="A257" t="s">
        <v>200</v>
      </c>
      <c r="B257">
        <v>6</v>
      </c>
      <c r="C257" t="s">
        <v>36</v>
      </c>
      <c r="D257" t="s">
        <v>231</v>
      </c>
      <c r="E257" t="s">
        <v>232</v>
      </c>
      <c r="F257" s="1">
        <v>1.3888888888888888E-5</v>
      </c>
      <c r="G257" t="s">
        <v>16</v>
      </c>
      <c r="H257">
        <v>3</v>
      </c>
      <c r="I257">
        <v>139</v>
      </c>
      <c r="J257">
        <v>142</v>
      </c>
      <c r="L257" t="s">
        <v>17</v>
      </c>
      <c r="M257" s="3">
        <f t="shared" si="30"/>
        <v>1.2060001725330949</v>
      </c>
    </row>
    <row r="258" spans="1:13" x14ac:dyDescent="0.25">
      <c r="A258" t="s">
        <v>200</v>
      </c>
      <c r="B258">
        <v>7</v>
      </c>
      <c r="C258" t="s">
        <v>36</v>
      </c>
      <c r="D258" t="s">
        <v>233</v>
      </c>
      <c r="E258" t="s">
        <v>234</v>
      </c>
      <c r="F258" s="1">
        <v>1.7361111111111111E-5</v>
      </c>
      <c r="G258" t="s">
        <v>16</v>
      </c>
      <c r="H258">
        <v>3</v>
      </c>
      <c r="I258">
        <v>139</v>
      </c>
      <c r="J258">
        <v>142</v>
      </c>
      <c r="L258" t="s">
        <v>17</v>
      </c>
      <c r="M258" s="3">
        <f t="shared" si="30"/>
        <v>1.4860001625493169</v>
      </c>
    </row>
    <row r="259" spans="1:13" x14ac:dyDescent="0.25">
      <c r="A259" t="s">
        <v>200</v>
      </c>
      <c r="B259">
        <v>8</v>
      </c>
      <c r="C259" t="s">
        <v>36</v>
      </c>
      <c r="D259" t="s">
        <v>235</v>
      </c>
      <c r="E259" t="s">
        <v>236</v>
      </c>
      <c r="F259" s="1">
        <v>2.6620370370370369E-5</v>
      </c>
      <c r="G259" t="s">
        <v>16</v>
      </c>
      <c r="H259">
        <v>3</v>
      </c>
      <c r="I259">
        <v>139</v>
      </c>
      <c r="J259">
        <v>142</v>
      </c>
      <c r="L259" t="s">
        <v>17</v>
      </c>
      <c r="M259" s="3">
        <f t="shared" ref="M259:M301" si="31">(SUBSTITUTE(LEFT(E259,23),"T"," ")-SUBSTITUTE(LEFT(D259,23),"T"," "))*86400</f>
        <v>2.296000043861568</v>
      </c>
    </row>
    <row r="260" spans="1:13" x14ac:dyDescent="0.25">
      <c r="A260" t="s">
        <v>200</v>
      </c>
      <c r="B260">
        <v>9</v>
      </c>
      <c r="C260" t="s">
        <v>36</v>
      </c>
      <c r="D260" t="s">
        <v>237</v>
      </c>
      <c r="E260" t="s">
        <v>238</v>
      </c>
      <c r="F260" s="1">
        <v>1.5046296296296297E-5</v>
      </c>
      <c r="G260" t="s">
        <v>16</v>
      </c>
      <c r="H260">
        <v>3</v>
      </c>
      <c r="I260">
        <v>139</v>
      </c>
      <c r="J260">
        <v>142</v>
      </c>
      <c r="L260" t="s">
        <v>17</v>
      </c>
      <c r="M260" s="3">
        <f t="shared" si="31"/>
        <v>1.3090001419186592</v>
      </c>
    </row>
    <row r="261" spans="1:13" x14ac:dyDescent="0.25">
      <c r="A261" t="s">
        <v>200</v>
      </c>
      <c r="B261">
        <v>10</v>
      </c>
      <c r="C261" t="s">
        <v>36</v>
      </c>
      <c r="D261" t="s">
        <v>239</v>
      </c>
      <c r="E261" t="s">
        <v>240</v>
      </c>
      <c r="F261" s="1">
        <v>1.5046296296296297E-5</v>
      </c>
      <c r="G261" t="s">
        <v>16</v>
      </c>
      <c r="H261">
        <v>3</v>
      </c>
      <c r="I261">
        <v>139</v>
      </c>
      <c r="J261">
        <v>142</v>
      </c>
      <c r="L261" t="s">
        <v>17</v>
      </c>
      <c r="M261" s="3">
        <f t="shared" si="31"/>
        <v>1.3440004549920559</v>
      </c>
    </row>
    <row r="262" spans="1:13" x14ac:dyDescent="0.25">
      <c r="A262" t="s">
        <v>200</v>
      </c>
      <c r="B262">
        <v>1</v>
      </c>
      <c r="C262" t="s">
        <v>57</v>
      </c>
      <c r="D262" t="s">
        <v>241</v>
      </c>
      <c r="E262" t="s">
        <v>242</v>
      </c>
      <c r="F262" s="1">
        <v>1.3888888888888888E-5</v>
      </c>
      <c r="G262" t="s">
        <v>16</v>
      </c>
      <c r="H262">
        <v>3</v>
      </c>
      <c r="I262">
        <v>101</v>
      </c>
      <c r="J262">
        <v>104</v>
      </c>
      <c r="L262" t="s">
        <v>17</v>
      </c>
      <c r="M262" s="3">
        <f t="shared" si="31"/>
        <v>1.2469996232539415</v>
      </c>
    </row>
    <row r="263" spans="1:13" x14ac:dyDescent="0.25">
      <c r="A263" t="s">
        <v>200</v>
      </c>
      <c r="B263">
        <v>2</v>
      </c>
      <c r="C263" t="s">
        <v>57</v>
      </c>
      <c r="D263" t="s">
        <v>243</v>
      </c>
      <c r="E263" t="s">
        <v>244</v>
      </c>
      <c r="F263" s="1">
        <v>2.3148148148148147E-5</v>
      </c>
      <c r="G263" t="s">
        <v>16</v>
      </c>
      <c r="H263">
        <v>3</v>
      </c>
      <c r="I263">
        <v>101</v>
      </c>
      <c r="J263">
        <v>104</v>
      </c>
      <c r="L263" t="s">
        <v>17</v>
      </c>
      <c r="M263" s="3">
        <f t="shared" si="31"/>
        <v>1.988999848254025</v>
      </c>
    </row>
    <row r="264" spans="1:13" x14ac:dyDescent="0.25">
      <c r="A264" t="s">
        <v>200</v>
      </c>
      <c r="B264">
        <v>3</v>
      </c>
      <c r="C264" t="s">
        <v>57</v>
      </c>
      <c r="D264" t="s">
        <v>245</v>
      </c>
      <c r="E264" t="s">
        <v>246</v>
      </c>
      <c r="F264" s="1">
        <v>1.2731481481481482E-5</v>
      </c>
      <c r="G264" t="s">
        <v>16</v>
      </c>
      <c r="H264">
        <v>3</v>
      </c>
      <c r="I264">
        <v>101</v>
      </c>
      <c r="J264">
        <v>104</v>
      </c>
      <c r="L264" t="s">
        <v>17</v>
      </c>
      <c r="M264" s="3">
        <f t="shared" si="31"/>
        <v>1.1139995651319623</v>
      </c>
    </row>
    <row r="265" spans="1:13" x14ac:dyDescent="0.25">
      <c r="A265" t="s">
        <v>200</v>
      </c>
      <c r="B265">
        <v>4</v>
      </c>
      <c r="C265" t="s">
        <v>57</v>
      </c>
      <c r="D265" t="s">
        <v>247</v>
      </c>
      <c r="E265" t="s">
        <v>248</v>
      </c>
      <c r="F265" s="1">
        <v>1.6203703703703704E-5</v>
      </c>
      <c r="G265" t="s">
        <v>16</v>
      </c>
      <c r="H265">
        <v>3</v>
      </c>
      <c r="I265">
        <v>101</v>
      </c>
      <c r="J265">
        <v>104</v>
      </c>
      <c r="L265" t="s">
        <v>17</v>
      </c>
      <c r="M265" s="3">
        <f t="shared" si="31"/>
        <v>1.3920004712417722</v>
      </c>
    </row>
    <row r="266" spans="1:13" x14ac:dyDescent="0.25">
      <c r="A266" t="s">
        <v>200</v>
      </c>
      <c r="B266">
        <v>5</v>
      </c>
      <c r="C266" t="s">
        <v>57</v>
      </c>
      <c r="D266" t="s">
        <v>249</v>
      </c>
      <c r="E266" t="s">
        <v>250</v>
      </c>
      <c r="F266" s="1">
        <v>1.6203703703703704E-5</v>
      </c>
      <c r="G266" t="s">
        <v>16</v>
      </c>
      <c r="H266">
        <v>3</v>
      </c>
      <c r="I266">
        <v>101</v>
      </c>
      <c r="J266">
        <v>104</v>
      </c>
      <c r="L266" t="s">
        <v>17</v>
      </c>
      <c r="M266" s="3">
        <f t="shared" si="31"/>
        <v>1.4450000831857324</v>
      </c>
    </row>
    <row r="267" spans="1:13" x14ac:dyDescent="0.25">
      <c r="A267" t="s">
        <v>200</v>
      </c>
      <c r="B267">
        <v>6</v>
      </c>
      <c r="C267" t="s">
        <v>57</v>
      </c>
      <c r="D267" t="s">
        <v>251</v>
      </c>
      <c r="E267" t="s">
        <v>252</v>
      </c>
      <c r="F267" s="1">
        <v>1.3888888888888888E-5</v>
      </c>
      <c r="G267" t="s">
        <v>16</v>
      </c>
      <c r="H267">
        <v>3</v>
      </c>
      <c r="I267">
        <v>101</v>
      </c>
      <c r="J267">
        <v>104</v>
      </c>
      <c r="L267" t="s">
        <v>17</v>
      </c>
      <c r="M267" s="3">
        <f t="shared" si="31"/>
        <v>1.1899999575689435</v>
      </c>
    </row>
    <row r="268" spans="1:13" x14ac:dyDescent="0.25">
      <c r="A268" t="s">
        <v>200</v>
      </c>
      <c r="B268">
        <v>7</v>
      </c>
      <c r="C268" t="s">
        <v>57</v>
      </c>
      <c r="D268" t="s">
        <v>253</v>
      </c>
      <c r="E268" t="s">
        <v>254</v>
      </c>
      <c r="F268" s="1">
        <v>1.7361111111111111E-5</v>
      </c>
      <c r="G268" t="s">
        <v>16</v>
      </c>
      <c r="H268">
        <v>3</v>
      </c>
      <c r="I268">
        <v>101</v>
      </c>
      <c r="J268">
        <v>104</v>
      </c>
      <c r="L268" t="s">
        <v>17</v>
      </c>
      <c r="M268" s="3">
        <f t="shared" si="31"/>
        <v>1.4940002700313926</v>
      </c>
    </row>
    <row r="269" spans="1:13" x14ac:dyDescent="0.25">
      <c r="A269" t="s">
        <v>200</v>
      </c>
      <c r="B269">
        <v>8</v>
      </c>
      <c r="C269" t="s">
        <v>57</v>
      </c>
      <c r="D269" t="s">
        <v>255</v>
      </c>
      <c r="E269" t="s">
        <v>256</v>
      </c>
      <c r="F269" s="1">
        <v>1.8518518518518518E-5</v>
      </c>
      <c r="G269" t="s">
        <v>16</v>
      </c>
      <c r="H269">
        <v>3</v>
      </c>
      <c r="I269">
        <v>101</v>
      </c>
      <c r="J269">
        <v>104</v>
      </c>
      <c r="L269" t="s">
        <v>17</v>
      </c>
      <c r="M269" s="3">
        <f t="shared" si="31"/>
        <v>1.5980004100129008</v>
      </c>
    </row>
    <row r="270" spans="1:13" x14ac:dyDescent="0.25">
      <c r="A270" t="s">
        <v>200</v>
      </c>
      <c r="B270">
        <v>9</v>
      </c>
      <c r="C270" t="s">
        <v>57</v>
      </c>
      <c r="D270" t="s">
        <v>257</v>
      </c>
      <c r="E270" t="s">
        <v>258</v>
      </c>
      <c r="F270" s="1">
        <v>1.5046296296296297E-5</v>
      </c>
      <c r="G270" t="s">
        <v>16</v>
      </c>
      <c r="H270">
        <v>3</v>
      </c>
      <c r="I270">
        <v>101</v>
      </c>
      <c r="J270">
        <v>104</v>
      </c>
      <c r="L270" t="s">
        <v>17</v>
      </c>
      <c r="M270" s="3">
        <f t="shared" si="31"/>
        <v>1.2819999363273382</v>
      </c>
    </row>
    <row r="271" spans="1:13" x14ac:dyDescent="0.25">
      <c r="A271" t="s">
        <v>200</v>
      </c>
      <c r="B271">
        <v>10</v>
      </c>
      <c r="C271" t="s">
        <v>57</v>
      </c>
      <c r="D271" t="s">
        <v>259</v>
      </c>
      <c r="E271" t="s">
        <v>260</v>
      </c>
      <c r="F271" s="1">
        <v>2.6620370370370369E-5</v>
      </c>
      <c r="G271" t="s">
        <v>16</v>
      </c>
      <c r="H271">
        <v>3</v>
      </c>
      <c r="I271">
        <v>101</v>
      </c>
      <c r="J271">
        <v>104</v>
      </c>
      <c r="L271" t="s">
        <v>17</v>
      </c>
      <c r="M271" s="3">
        <f t="shared" si="31"/>
        <v>2.0270000444725156</v>
      </c>
    </row>
    <row r="272" spans="1:13" x14ac:dyDescent="0.25">
      <c r="A272" t="s">
        <v>261</v>
      </c>
      <c r="B272">
        <v>1</v>
      </c>
      <c r="C272" t="s">
        <v>13</v>
      </c>
      <c r="D272" t="s">
        <v>262</v>
      </c>
      <c r="E272" t="s">
        <v>263</v>
      </c>
      <c r="F272" s="1">
        <v>2.6620370370370369E-5</v>
      </c>
      <c r="G272" t="s">
        <v>16</v>
      </c>
      <c r="H272">
        <v>3</v>
      </c>
      <c r="I272">
        <v>91</v>
      </c>
      <c r="J272">
        <v>94</v>
      </c>
      <c r="L272" t="s">
        <v>17</v>
      </c>
      <c r="M272" s="3">
        <f t="shared" si="31"/>
        <v>2.0309994695708156</v>
      </c>
    </row>
    <row r="273" spans="1:13" x14ac:dyDescent="0.25">
      <c r="A273" t="s">
        <v>261</v>
      </c>
      <c r="B273">
        <v>2</v>
      </c>
      <c r="C273" t="s">
        <v>13</v>
      </c>
      <c r="D273" t="s">
        <v>264</v>
      </c>
      <c r="E273" t="s">
        <v>265</v>
      </c>
      <c r="F273" s="1">
        <v>1.9675925925925925E-5</v>
      </c>
      <c r="G273" t="s">
        <v>16</v>
      </c>
      <c r="H273">
        <v>3</v>
      </c>
      <c r="I273">
        <v>91</v>
      </c>
      <c r="J273">
        <v>94</v>
      </c>
      <c r="L273" t="s">
        <v>17</v>
      </c>
      <c r="M273" s="3">
        <f t="shared" si="31"/>
        <v>1.7380004050210118</v>
      </c>
    </row>
    <row r="274" spans="1:13" x14ac:dyDescent="0.25">
      <c r="A274" t="s">
        <v>261</v>
      </c>
      <c r="B274">
        <v>3</v>
      </c>
      <c r="C274" t="s">
        <v>13</v>
      </c>
      <c r="D274" t="s">
        <v>266</v>
      </c>
      <c r="E274" t="s">
        <v>267</v>
      </c>
      <c r="F274" s="1">
        <v>1.9675925925925925E-5</v>
      </c>
      <c r="G274" t="s">
        <v>16</v>
      </c>
      <c r="H274">
        <v>3</v>
      </c>
      <c r="I274">
        <v>91</v>
      </c>
      <c r="J274">
        <v>94</v>
      </c>
      <c r="L274" t="s">
        <v>17</v>
      </c>
      <c r="M274" s="3">
        <f t="shared" si="31"/>
        <v>1.7330001806840301</v>
      </c>
    </row>
    <row r="275" spans="1:13" x14ac:dyDescent="0.25">
      <c r="A275" t="s">
        <v>261</v>
      </c>
      <c r="B275">
        <v>4</v>
      </c>
      <c r="C275" t="s">
        <v>13</v>
      </c>
      <c r="D275" t="s">
        <v>268</v>
      </c>
      <c r="E275" t="s">
        <v>269</v>
      </c>
      <c r="F275" s="1">
        <v>3.2407407407407408E-5</v>
      </c>
      <c r="G275" t="s">
        <v>16</v>
      </c>
      <c r="H275">
        <v>3</v>
      </c>
      <c r="I275">
        <v>91</v>
      </c>
      <c r="J275">
        <v>94</v>
      </c>
      <c r="L275" t="s">
        <v>17</v>
      </c>
      <c r="M275" s="3">
        <f t="shared" si="31"/>
        <v>2.0829995395615697</v>
      </c>
    </row>
    <row r="276" spans="1:13" x14ac:dyDescent="0.25">
      <c r="A276" t="s">
        <v>261</v>
      </c>
      <c r="B276">
        <v>5</v>
      </c>
      <c r="C276" t="s">
        <v>13</v>
      </c>
      <c r="D276" t="s">
        <v>270</v>
      </c>
      <c r="E276" t="s">
        <v>271</v>
      </c>
      <c r="F276" s="1">
        <v>1.9675925925925925E-5</v>
      </c>
      <c r="G276" t="s">
        <v>16</v>
      </c>
      <c r="H276">
        <v>3</v>
      </c>
      <c r="I276">
        <v>91</v>
      </c>
      <c r="J276">
        <v>94</v>
      </c>
      <c r="L276" t="s">
        <v>17</v>
      </c>
      <c r="M276" s="3">
        <f t="shared" si="31"/>
        <v>1.7320000100880861</v>
      </c>
    </row>
    <row r="277" spans="1:13" x14ac:dyDescent="0.25">
      <c r="A277" t="s">
        <v>261</v>
      </c>
      <c r="B277">
        <v>6</v>
      </c>
      <c r="C277" t="s">
        <v>13</v>
      </c>
      <c r="D277" t="s">
        <v>272</v>
      </c>
      <c r="E277" t="s">
        <v>273</v>
      </c>
      <c r="F277" s="1">
        <v>2.0833333333333333E-5</v>
      </c>
      <c r="G277" t="s">
        <v>16</v>
      </c>
      <c r="H277">
        <v>3</v>
      </c>
      <c r="I277">
        <v>91</v>
      </c>
      <c r="J277">
        <v>94</v>
      </c>
      <c r="L277" t="s">
        <v>17</v>
      </c>
      <c r="M277" s="3">
        <f t="shared" si="31"/>
        <v>1.7679998651146889</v>
      </c>
    </row>
    <row r="278" spans="1:13" x14ac:dyDescent="0.25">
      <c r="A278" t="s">
        <v>261</v>
      </c>
      <c r="B278">
        <v>7</v>
      </c>
      <c r="C278" t="s">
        <v>13</v>
      </c>
      <c r="D278" t="s">
        <v>274</v>
      </c>
      <c r="E278" t="s">
        <v>275</v>
      </c>
      <c r="F278" s="1">
        <v>2.199074074074074E-5</v>
      </c>
      <c r="G278" t="s">
        <v>16</v>
      </c>
      <c r="H278">
        <v>3</v>
      </c>
      <c r="I278">
        <v>91</v>
      </c>
      <c r="J278">
        <v>94</v>
      </c>
      <c r="L278" t="s">
        <v>17</v>
      </c>
      <c r="M278" s="3">
        <f t="shared" si="31"/>
        <v>1.9429995445534587</v>
      </c>
    </row>
    <row r="279" spans="1:13" x14ac:dyDescent="0.25">
      <c r="A279" t="s">
        <v>261</v>
      </c>
      <c r="B279">
        <v>8</v>
      </c>
      <c r="C279" t="s">
        <v>13</v>
      </c>
      <c r="D279" t="s">
        <v>276</v>
      </c>
      <c r="E279" t="s">
        <v>277</v>
      </c>
      <c r="F279" s="1">
        <v>3.1250000000000001E-5</v>
      </c>
      <c r="G279" t="s">
        <v>16</v>
      </c>
      <c r="H279">
        <v>3</v>
      </c>
      <c r="I279">
        <v>91</v>
      </c>
      <c r="J279">
        <v>94</v>
      </c>
      <c r="L279" t="s">
        <v>17</v>
      </c>
      <c r="M279" s="3">
        <f t="shared" si="31"/>
        <v>2.6840002276003361</v>
      </c>
    </row>
    <row r="280" spans="1:13" x14ac:dyDescent="0.25">
      <c r="A280" t="s">
        <v>261</v>
      </c>
      <c r="B280">
        <v>9</v>
      </c>
      <c r="C280" t="s">
        <v>13</v>
      </c>
      <c r="D280" t="s">
        <v>278</v>
      </c>
      <c r="E280" t="s">
        <v>279</v>
      </c>
      <c r="F280" s="1">
        <v>2.0833333333333333E-5</v>
      </c>
      <c r="G280" t="s">
        <v>16</v>
      </c>
      <c r="H280">
        <v>3</v>
      </c>
      <c r="I280">
        <v>91</v>
      </c>
      <c r="J280">
        <v>94</v>
      </c>
      <c r="L280" t="s">
        <v>17</v>
      </c>
      <c r="M280" s="3">
        <f t="shared" si="31"/>
        <v>1.8419999163597822</v>
      </c>
    </row>
    <row r="281" spans="1:13" x14ac:dyDescent="0.25">
      <c r="A281" t="s">
        <v>261</v>
      </c>
      <c r="B281">
        <v>10</v>
      </c>
      <c r="C281" t="s">
        <v>13</v>
      </c>
      <c r="D281" t="s">
        <v>280</v>
      </c>
      <c r="E281" t="s">
        <v>281</v>
      </c>
      <c r="F281" s="1">
        <v>2.3148148148148147E-5</v>
      </c>
      <c r="G281" t="s">
        <v>16</v>
      </c>
      <c r="H281">
        <v>3</v>
      </c>
      <c r="I281">
        <v>91</v>
      </c>
      <c r="J281">
        <v>94</v>
      </c>
      <c r="L281" t="s">
        <v>17</v>
      </c>
      <c r="M281" s="3">
        <f t="shared" si="31"/>
        <v>1.959999930113554</v>
      </c>
    </row>
    <row r="282" spans="1:13" x14ac:dyDescent="0.25">
      <c r="A282" t="s">
        <v>261</v>
      </c>
      <c r="B282">
        <v>1</v>
      </c>
      <c r="C282" t="s">
        <v>36</v>
      </c>
      <c r="D282" t="s">
        <v>282</v>
      </c>
      <c r="E282" t="s">
        <v>283</v>
      </c>
      <c r="F282" s="1">
        <v>2.0833333333333333E-5</v>
      </c>
      <c r="G282" t="s">
        <v>16</v>
      </c>
      <c r="H282">
        <v>3</v>
      </c>
      <c r="I282">
        <v>164</v>
      </c>
      <c r="J282">
        <v>167</v>
      </c>
      <c r="L282" t="s">
        <v>17</v>
      </c>
      <c r="M282" s="3">
        <f t="shared" si="31"/>
        <v>1.8390000332146883</v>
      </c>
    </row>
    <row r="283" spans="1:13" x14ac:dyDescent="0.25">
      <c r="A283" t="s">
        <v>261</v>
      </c>
      <c r="B283">
        <v>2</v>
      </c>
      <c r="C283" t="s">
        <v>36</v>
      </c>
      <c r="D283" t="s">
        <v>284</v>
      </c>
      <c r="E283" t="s">
        <v>285</v>
      </c>
      <c r="F283" s="1">
        <v>1.8518518518518518E-5</v>
      </c>
      <c r="G283" t="s">
        <v>16</v>
      </c>
      <c r="H283">
        <v>3</v>
      </c>
      <c r="I283">
        <v>164</v>
      </c>
      <c r="J283">
        <v>167</v>
      </c>
      <c r="L283" t="s">
        <v>17</v>
      </c>
      <c r="M283" s="3">
        <f t="shared" si="31"/>
        <v>1.6370001481845975</v>
      </c>
    </row>
    <row r="284" spans="1:13" x14ac:dyDescent="0.25">
      <c r="A284" t="s">
        <v>261</v>
      </c>
      <c r="B284">
        <v>3</v>
      </c>
      <c r="C284" t="s">
        <v>36</v>
      </c>
      <c r="D284" t="s">
        <v>286</v>
      </c>
      <c r="E284" t="s">
        <v>287</v>
      </c>
      <c r="F284" s="1">
        <v>1.9675925925925925E-5</v>
      </c>
      <c r="G284" t="s">
        <v>16</v>
      </c>
      <c r="H284">
        <v>3</v>
      </c>
      <c r="I284">
        <v>164</v>
      </c>
      <c r="J284">
        <v>167</v>
      </c>
      <c r="L284" t="s">
        <v>17</v>
      </c>
      <c r="M284" s="3">
        <f t="shared" si="31"/>
        <v>1.7040002625435591</v>
      </c>
    </row>
    <row r="285" spans="1:13" x14ac:dyDescent="0.25">
      <c r="A285" t="s">
        <v>261</v>
      </c>
      <c r="B285">
        <v>4</v>
      </c>
      <c r="C285" t="s">
        <v>36</v>
      </c>
      <c r="D285" t="s">
        <v>288</v>
      </c>
      <c r="E285" t="s">
        <v>289</v>
      </c>
      <c r="F285" s="1">
        <v>1.5046296296296297E-5</v>
      </c>
      <c r="G285" t="s">
        <v>16</v>
      </c>
      <c r="H285">
        <v>3</v>
      </c>
      <c r="I285">
        <v>164</v>
      </c>
      <c r="J285">
        <v>167</v>
      </c>
      <c r="L285" t="s">
        <v>17</v>
      </c>
      <c r="M285" s="3">
        <f t="shared" si="31"/>
        <v>1.2539995601400733</v>
      </c>
    </row>
    <row r="286" spans="1:13" x14ac:dyDescent="0.25">
      <c r="A286" t="s">
        <v>261</v>
      </c>
      <c r="B286">
        <v>5</v>
      </c>
      <c r="C286" t="s">
        <v>36</v>
      </c>
      <c r="D286" t="s">
        <v>290</v>
      </c>
      <c r="E286" t="s">
        <v>291</v>
      </c>
      <c r="F286" s="1">
        <v>1.3888888888888888E-5</v>
      </c>
      <c r="G286" t="s">
        <v>16</v>
      </c>
      <c r="H286">
        <v>3</v>
      </c>
      <c r="I286">
        <v>164</v>
      </c>
      <c r="J286">
        <v>167</v>
      </c>
      <c r="L286" t="s">
        <v>17</v>
      </c>
      <c r="M286" s="3">
        <f t="shared" si="31"/>
        <v>1.2189998757094145</v>
      </c>
    </row>
    <row r="287" spans="1:13" x14ac:dyDescent="0.25">
      <c r="A287" t="s">
        <v>261</v>
      </c>
      <c r="B287">
        <v>6</v>
      </c>
      <c r="C287" t="s">
        <v>36</v>
      </c>
      <c r="D287" t="s">
        <v>292</v>
      </c>
      <c r="E287" t="s">
        <v>293</v>
      </c>
      <c r="F287" s="1">
        <v>1.6203703703703704E-5</v>
      </c>
      <c r="G287" t="s">
        <v>16</v>
      </c>
      <c r="H287">
        <v>3</v>
      </c>
      <c r="I287">
        <v>164</v>
      </c>
      <c r="J287">
        <v>167</v>
      </c>
      <c r="L287" t="s">
        <v>17</v>
      </c>
      <c r="M287" s="3">
        <f t="shared" si="31"/>
        <v>1.4340000925585628</v>
      </c>
    </row>
    <row r="288" spans="1:13" x14ac:dyDescent="0.25">
      <c r="A288" t="s">
        <v>261</v>
      </c>
      <c r="B288">
        <v>7</v>
      </c>
      <c r="C288" t="s">
        <v>36</v>
      </c>
      <c r="D288" t="s">
        <v>294</v>
      </c>
      <c r="E288" t="s">
        <v>295</v>
      </c>
      <c r="F288" s="1">
        <v>2.0833333333333333E-5</v>
      </c>
      <c r="G288" t="s">
        <v>16</v>
      </c>
      <c r="H288">
        <v>3</v>
      </c>
      <c r="I288">
        <v>164</v>
      </c>
      <c r="J288">
        <v>167</v>
      </c>
      <c r="L288" t="s">
        <v>17</v>
      </c>
      <c r="M288" s="3">
        <f t="shared" si="31"/>
        <v>1.7800000263378024</v>
      </c>
    </row>
    <row r="289" spans="1:13" x14ac:dyDescent="0.25">
      <c r="A289" t="s">
        <v>261</v>
      </c>
      <c r="B289">
        <v>8</v>
      </c>
      <c r="C289" t="s">
        <v>36</v>
      </c>
      <c r="D289" t="s">
        <v>296</v>
      </c>
      <c r="E289" t="s">
        <v>297</v>
      </c>
      <c r="F289" s="1">
        <v>1.8518518518518518E-5</v>
      </c>
      <c r="G289" t="s">
        <v>16</v>
      </c>
      <c r="H289">
        <v>3</v>
      </c>
      <c r="I289">
        <v>164</v>
      </c>
      <c r="J289">
        <v>167</v>
      </c>
      <c r="L289" t="s">
        <v>17</v>
      </c>
      <c r="M289" s="3">
        <f t="shared" si="31"/>
        <v>1.5860002487897873</v>
      </c>
    </row>
    <row r="290" spans="1:13" x14ac:dyDescent="0.25">
      <c r="A290" t="s">
        <v>261</v>
      </c>
      <c r="B290">
        <v>9</v>
      </c>
      <c r="C290" t="s">
        <v>36</v>
      </c>
      <c r="D290" t="s">
        <v>298</v>
      </c>
      <c r="E290" t="s">
        <v>299</v>
      </c>
      <c r="F290" s="1">
        <v>1.3888888888888888E-5</v>
      </c>
      <c r="G290" t="s">
        <v>16</v>
      </c>
      <c r="H290">
        <v>3</v>
      </c>
      <c r="I290">
        <v>164</v>
      </c>
      <c r="J290">
        <v>167</v>
      </c>
      <c r="L290" t="s">
        <v>17</v>
      </c>
      <c r="M290" s="3">
        <f t="shared" si="31"/>
        <v>1.1999997776001692</v>
      </c>
    </row>
    <row r="291" spans="1:13" x14ac:dyDescent="0.25">
      <c r="A291" t="s">
        <v>261</v>
      </c>
      <c r="B291">
        <v>10</v>
      </c>
      <c r="C291" t="s">
        <v>36</v>
      </c>
      <c r="D291" t="s">
        <v>300</v>
      </c>
      <c r="E291" t="s">
        <v>301</v>
      </c>
      <c r="F291" s="1">
        <v>1.8518518518518518E-5</v>
      </c>
      <c r="G291" t="s">
        <v>16</v>
      </c>
      <c r="H291">
        <v>3</v>
      </c>
      <c r="I291">
        <v>164</v>
      </c>
      <c r="J291">
        <v>167</v>
      </c>
      <c r="L291" t="s">
        <v>17</v>
      </c>
      <c r="M291" s="3">
        <f t="shared" si="31"/>
        <v>1.5839999075978994</v>
      </c>
    </row>
    <row r="292" spans="1:13" x14ac:dyDescent="0.25">
      <c r="A292" t="s">
        <v>261</v>
      </c>
      <c r="B292">
        <v>1</v>
      </c>
      <c r="C292" t="s">
        <v>57</v>
      </c>
      <c r="D292" t="s">
        <v>302</v>
      </c>
      <c r="E292" t="s">
        <v>303</v>
      </c>
      <c r="F292" s="1">
        <v>1.7361111111111111E-5</v>
      </c>
      <c r="G292" t="s">
        <v>16</v>
      </c>
      <c r="H292">
        <v>3</v>
      </c>
      <c r="I292">
        <v>125</v>
      </c>
      <c r="J292">
        <v>128</v>
      </c>
      <c r="L292" t="s">
        <v>17</v>
      </c>
      <c r="M292" s="3">
        <f t="shared" si="31"/>
        <v>1.5189995057880878</v>
      </c>
    </row>
    <row r="293" spans="1:13" x14ac:dyDescent="0.25">
      <c r="A293" t="s">
        <v>261</v>
      </c>
      <c r="B293">
        <v>2</v>
      </c>
      <c r="C293" t="s">
        <v>57</v>
      </c>
      <c r="D293" t="s">
        <v>304</v>
      </c>
      <c r="E293" t="s">
        <v>305</v>
      </c>
      <c r="F293" s="1">
        <v>1.7361111111111111E-5</v>
      </c>
      <c r="G293" t="s">
        <v>16</v>
      </c>
      <c r="H293">
        <v>3</v>
      </c>
      <c r="I293">
        <v>125</v>
      </c>
      <c r="J293">
        <v>128</v>
      </c>
      <c r="L293" t="s">
        <v>17</v>
      </c>
      <c r="M293" s="3">
        <f t="shared" si="31"/>
        <v>1.4970001531764865</v>
      </c>
    </row>
    <row r="294" spans="1:13" x14ac:dyDescent="0.25">
      <c r="A294" t="s">
        <v>261</v>
      </c>
      <c r="B294">
        <v>3</v>
      </c>
      <c r="C294" t="s">
        <v>57</v>
      </c>
      <c r="D294" t="s">
        <v>306</v>
      </c>
      <c r="E294" t="s">
        <v>307</v>
      </c>
      <c r="F294" s="1">
        <v>1.7361111111111111E-5</v>
      </c>
      <c r="G294" t="s">
        <v>16</v>
      </c>
      <c r="H294">
        <v>3</v>
      </c>
      <c r="I294">
        <v>125</v>
      </c>
      <c r="J294">
        <v>128</v>
      </c>
      <c r="L294" t="s">
        <v>17</v>
      </c>
      <c r="M294" s="3">
        <f t="shared" si="31"/>
        <v>1.4980003237724304</v>
      </c>
    </row>
    <row r="295" spans="1:13" x14ac:dyDescent="0.25">
      <c r="A295" t="s">
        <v>261</v>
      </c>
      <c r="B295">
        <v>4</v>
      </c>
      <c r="C295" t="s">
        <v>57</v>
      </c>
      <c r="D295" t="s">
        <v>308</v>
      </c>
      <c r="E295" t="s">
        <v>309</v>
      </c>
      <c r="F295" s="1">
        <v>2.0833333333333333E-5</v>
      </c>
      <c r="G295" t="s">
        <v>16</v>
      </c>
      <c r="H295">
        <v>3</v>
      </c>
      <c r="I295">
        <v>125</v>
      </c>
      <c r="J295">
        <v>128</v>
      </c>
      <c r="L295" t="s">
        <v>17</v>
      </c>
      <c r="M295" s="3">
        <f t="shared" si="31"/>
        <v>1.792999729514122</v>
      </c>
    </row>
    <row r="296" spans="1:13" x14ac:dyDescent="0.25">
      <c r="A296" t="s">
        <v>261</v>
      </c>
      <c r="B296">
        <v>5</v>
      </c>
      <c r="C296" t="s">
        <v>57</v>
      </c>
      <c r="D296" t="s">
        <v>310</v>
      </c>
      <c r="E296" t="s">
        <v>311</v>
      </c>
      <c r="F296" s="1">
        <v>1.6203703703703704E-5</v>
      </c>
      <c r="G296" t="s">
        <v>16</v>
      </c>
      <c r="H296">
        <v>3</v>
      </c>
      <c r="I296">
        <v>125</v>
      </c>
      <c r="J296">
        <v>128</v>
      </c>
      <c r="L296" t="s">
        <v>17</v>
      </c>
      <c r="M296" s="3">
        <f t="shared" si="31"/>
        <v>1.3629999244585633</v>
      </c>
    </row>
    <row r="297" spans="1:13" x14ac:dyDescent="0.25">
      <c r="A297" t="s">
        <v>261</v>
      </c>
      <c r="B297">
        <v>6</v>
      </c>
      <c r="C297" t="s">
        <v>57</v>
      </c>
      <c r="D297" t="s">
        <v>312</v>
      </c>
      <c r="E297" t="s">
        <v>313</v>
      </c>
      <c r="F297" s="1">
        <v>1.3888888888888888E-5</v>
      </c>
      <c r="G297" t="s">
        <v>16</v>
      </c>
      <c r="H297">
        <v>3</v>
      </c>
      <c r="I297">
        <v>125</v>
      </c>
      <c r="J297">
        <v>128</v>
      </c>
      <c r="L297" t="s">
        <v>17</v>
      </c>
      <c r="M297" s="3">
        <f t="shared" si="31"/>
        <v>1.2379999738186598</v>
      </c>
    </row>
    <row r="298" spans="1:13" x14ac:dyDescent="0.25">
      <c r="A298" t="s">
        <v>261</v>
      </c>
      <c r="B298">
        <v>7</v>
      </c>
      <c r="C298" t="s">
        <v>57</v>
      </c>
      <c r="D298" t="s">
        <v>314</v>
      </c>
      <c r="E298" t="s">
        <v>315</v>
      </c>
      <c r="F298" s="1">
        <v>1.8518518518518518E-5</v>
      </c>
      <c r="G298" t="s">
        <v>16</v>
      </c>
      <c r="H298">
        <v>3</v>
      </c>
      <c r="I298">
        <v>125</v>
      </c>
      <c r="J298">
        <v>128</v>
      </c>
      <c r="L298" t="s">
        <v>17</v>
      </c>
      <c r="M298" s="3">
        <f t="shared" si="31"/>
        <v>1.5710002044215798</v>
      </c>
    </row>
    <row r="299" spans="1:13" x14ac:dyDescent="0.25">
      <c r="A299" t="s">
        <v>261</v>
      </c>
      <c r="B299">
        <v>8</v>
      </c>
      <c r="C299" t="s">
        <v>57</v>
      </c>
      <c r="D299" t="s">
        <v>316</v>
      </c>
      <c r="E299" t="s">
        <v>317</v>
      </c>
      <c r="F299" s="1">
        <v>1.5046296296296297E-5</v>
      </c>
      <c r="G299" t="s">
        <v>16</v>
      </c>
      <c r="H299">
        <v>3</v>
      </c>
      <c r="I299">
        <v>125</v>
      </c>
      <c r="J299">
        <v>128</v>
      </c>
      <c r="L299" t="s">
        <v>17</v>
      </c>
      <c r="M299" s="3">
        <f t="shared" si="31"/>
        <v>1.316000078804791</v>
      </c>
    </row>
    <row r="300" spans="1:13" x14ac:dyDescent="0.25">
      <c r="A300" t="s">
        <v>261</v>
      </c>
      <c r="B300">
        <v>9</v>
      </c>
      <c r="C300" t="s">
        <v>57</v>
      </c>
      <c r="D300" t="s">
        <v>318</v>
      </c>
      <c r="E300" t="s">
        <v>319</v>
      </c>
      <c r="F300" s="1">
        <v>1.8518518518518518E-5</v>
      </c>
      <c r="G300" t="s">
        <v>16</v>
      </c>
      <c r="H300">
        <v>3</v>
      </c>
      <c r="I300">
        <v>125</v>
      </c>
      <c r="J300">
        <v>128</v>
      </c>
      <c r="L300" t="s">
        <v>17</v>
      </c>
      <c r="M300" s="3">
        <f t="shared" si="31"/>
        <v>1.568999863229692</v>
      </c>
    </row>
    <row r="301" spans="1:13" x14ac:dyDescent="0.25">
      <c r="A301" t="s">
        <v>261</v>
      </c>
      <c r="B301">
        <v>10</v>
      </c>
      <c r="C301" t="s">
        <v>57</v>
      </c>
      <c r="D301" t="s">
        <v>320</v>
      </c>
      <c r="E301" t="s">
        <v>321</v>
      </c>
      <c r="F301" s="1">
        <v>1.5046296296296297E-5</v>
      </c>
      <c r="G301" t="s">
        <v>16</v>
      </c>
      <c r="H301">
        <v>3</v>
      </c>
      <c r="I301">
        <v>125</v>
      </c>
      <c r="J301">
        <v>128</v>
      </c>
      <c r="L301" t="s">
        <v>17</v>
      </c>
      <c r="M301" s="3">
        <f t="shared" si="31"/>
        <v>1.2709999457001686</v>
      </c>
    </row>
  </sheetData>
  <mergeCells count="45">
    <mergeCell ref="P5:R5"/>
    <mergeCell ref="U5:W5"/>
    <mergeCell ref="Z5:AB5"/>
    <mergeCell ref="AE5:AG5"/>
    <mergeCell ref="AJ5:AL5"/>
    <mergeCell ref="O3:R4"/>
    <mergeCell ref="T3:W4"/>
    <mergeCell ref="Y3:AB4"/>
    <mergeCell ref="AD3:AG4"/>
    <mergeCell ref="AI3:AL4"/>
    <mergeCell ref="P6:R6"/>
    <mergeCell ref="U6:W6"/>
    <mergeCell ref="Z6:AB6"/>
    <mergeCell ref="AE6:AG6"/>
    <mergeCell ref="AJ6:AL6"/>
    <mergeCell ref="O25:R25"/>
    <mergeCell ref="T25:W25"/>
    <mergeCell ref="Y25:AB25"/>
    <mergeCell ref="AD25:AG25"/>
    <mergeCell ref="AI25:AL25"/>
    <mergeCell ref="O26:Q26"/>
    <mergeCell ref="T26:V26"/>
    <mergeCell ref="Y26:AA26"/>
    <mergeCell ref="AD26:AF26"/>
    <mergeCell ref="AI26:AK26"/>
    <mergeCell ref="O27:Q27"/>
    <mergeCell ref="T27:V27"/>
    <mergeCell ref="Y27:AA27"/>
    <mergeCell ref="AD27:AF27"/>
    <mergeCell ref="AI27:AK27"/>
    <mergeCell ref="O30:R30"/>
    <mergeCell ref="T30:V30"/>
    <mergeCell ref="Y30:AA30"/>
    <mergeCell ref="O28:Q28"/>
    <mergeCell ref="T28:V28"/>
    <mergeCell ref="Y28:AA28"/>
    <mergeCell ref="AN9:AO9"/>
    <mergeCell ref="AD30:AH30"/>
    <mergeCell ref="Y42:AA42"/>
    <mergeCell ref="AI35:AJ35"/>
    <mergeCell ref="AC42:AE42"/>
    <mergeCell ref="Y34:AA34"/>
    <mergeCell ref="Y38:AA38"/>
    <mergeCell ref="AD28:AF28"/>
    <mergeCell ref="AI28:AK28"/>
  </mergeCells>
  <hyperlinks>
    <hyperlink ref="P6" r:id="rId1" display="claude-3-haiku@20240307" xr:uid="{6BBEF1C4-3932-4EFC-9572-330619A0F88D}"/>
    <hyperlink ref="O3" r:id="rId2" display="gemini-2.0-flash@001" xr:uid="{452EF283-4A8B-43A9-AD0A-7EE648AC8F3D}"/>
  </hyperlinks>
  <pageMargins left="0.7" right="0.7" top="0.75" bottom="0.75" header="0.3" footer="0.3"/>
  <pageSetup orientation="portrait" horizontalDpi="0" verticalDpi="0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BB8AA-51A4-48CC-A393-13EDFD0BFC27}">
  <dimension ref="A1:AO301"/>
  <sheetViews>
    <sheetView topLeftCell="G2" zoomScale="70" zoomScaleNormal="70" workbookViewId="0">
      <selection activeCell="AN9" sqref="AN9:AO25"/>
    </sheetView>
  </sheetViews>
  <sheetFormatPr defaultRowHeight="15" x14ac:dyDescent="0.25"/>
  <cols>
    <col min="1" max="1" width="24.5703125" bestFit="1" customWidth="1"/>
    <col min="2" max="2" width="8" bestFit="1" customWidth="1"/>
    <col min="3" max="3" width="14.28515625" bestFit="1" customWidth="1"/>
    <col min="4" max="5" width="28" bestFit="1" customWidth="1"/>
    <col min="6" max="6" width="11.140625" bestFit="1" customWidth="1"/>
    <col min="7" max="7" width="8.140625" bestFit="1" customWidth="1"/>
    <col min="8" max="8" width="18" bestFit="1" customWidth="1"/>
    <col min="9" max="9" width="14.28515625" bestFit="1" customWidth="1"/>
    <col min="10" max="10" width="11.7109375" bestFit="1" customWidth="1"/>
    <col min="11" max="11" width="5.85546875" bestFit="1" customWidth="1"/>
    <col min="12" max="12" width="6.7109375" bestFit="1" customWidth="1"/>
    <col min="13" max="13" width="17.28515625" bestFit="1" customWidth="1"/>
    <col min="15" max="15" width="27.85546875" bestFit="1" customWidth="1"/>
    <col min="16" max="16" width="11.5703125" bestFit="1" customWidth="1"/>
    <col min="17" max="18" width="11.42578125" bestFit="1" customWidth="1"/>
    <col min="20" max="20" width="24.42578125" bestFit="1" customWidth="1"/>
    <col min="21" max="21" width="22.140625" bestFit="1" customWidth="1"/>
    <col min="22" max="23" width="21.7109375" bestFit="1" customWidth="1"/>
    <col min="25" max="25" width="20.7109375" bestFit="1" customWidth="1"/>
    <col min="26" max="26" width="14.5703125" bestFit="1" customWidth="1"/>
    <col min="27" max="27" width="13.42578125" bestFit="1" customWidth="1"/>
    <col min="28" max="28" width="11.42578125" bestFit="1" customWidth="1"/>
    <col min="30" max="30" width="20.7109375" bestFit="1" customWidth="1"/>
    <col min="31" max="31" width="12" bestFit="1" customWidth="1"/>
    <col min="32" max="32" width="13.5703125" bestFit="1" customWidth="1"/>
    <col min="33" max="33" width="11.42578125" bestFit="1" customWidth="1"/>
    <col min="34" max="34" width="21.5703125" bestFit="1" customWidth="1"/>
    <col min="35" max="35" width="20.7109375" bestFit="1" customWidth="1"/>
    <col min="36" max="36" width="11.5703125" bestFit="1" customWidth="1"/>
    <col min="37" max="38" width="11.42578125" bestFit="1" customWidth="1"/>
    <col min="40" max="40" width="25.7109375" bestFit="1" customWidth="1"/>
    <col min="41" max="41" width="7.85546875" bestFit="1" customWidth="1"/>
  </cols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390</v>
      </c>
    </row>
    <row r="2" spans="1:41" ht="15.75" thickBot="1" x14ac:dyDescent="0.3">
      <c r="A2" t="s">
        <v>12</v>
      </c>
      <c r="B2">
        <v>1</v>
      </c>
      <c r="C2" t="s">
        <v>13</v>
      </c>
      <c r="D2" t="s">
        <v>322</v>
      </c>
      <c r="E2" t="s">
        <v>323</v>
      </c>
      <c r="F2" s="1">
        <v>1.5046296296296297E-5</v>
      </c>
      <c r="G2" t="s">
        <v>16</v>
      </c>
      <c r="H2">
        <v>5</v>
      </c>
      <c r="I2">
        <v>81</v>
      </c>
      <c r="J2">
        <v>86</v>
      </c>
      <c r="L2" t="s">
        <v>17</v>
      </c>
      <c r="M2" s="3">
        <f>(SUBSTITUTE(LEFT(E2,23),"T"," ")-SUBSTITUTE(LEFT(D2,23),"T"," "))*86400</f>
        <v>1.0330002056434751</v>
      </c>
    </row>
    <row r="3" spans="1:41" ht="15" customHeight="1" x14ac:dyDescent="0.25">
      <c r="A3" t="s">
        <v>12</v>
      </c>
      <c r="B3">
        <v>2</v>
      </c>
      <c r="C3" t="s">
        <v>13</v>
      </c>
      <c r="D3" t="s">
        <v>324</v>
      </c>
      <c r="E3" t="s">
        <v>325</v>
      </c>
      <c r="F3" s="1">
        <v>1.1574074074074073E-5</v>
      </c>
      <c r="G3" t="s">
        <v>16</v>
      </c>
      <c r="H3">
        <v>5</v>
      </c>
      <c r="I3">
        <v>81</v>
      </c>
      <c r="J3">
        <v>86</v>
      </c>
      <c r="L3" t="s">
        <v>17</v>
      </c>
      <c r="M3" s="3">
        <f t="shared" ref="M3:M66" si="0">(SUBSTITUTE(LEFT(E3,23),"T"," ")-SUBSTITUTE(LEFT(D3,23),"T"," "))*86400</f>
        <v>0.98500018939375877</v>
      </c>
      <c r="O3" s="39" t="s">
        <v>200</v>
      </c>
      <c r="P3" s="40"/>
      <c r="Q3" s="40"/>
      <c r="R3" s="41"/>
      <c r="T3" s="26" t="str">
        <f>O3 &amp; "
All Runs Mar 3, 2026 Detailed Analysis"</f>
        <v>gpt-4o-mini@2024-07-18
All Runs Mar 3, 2026 Detailed Analysis</v>
      </c>
      <c r="U3" s="27"/>
      <c r="V3" s="27"/>
      <c r="W3" s="28"/>
      <c r="Y3" s="26" t="str">
        <f>O3 &amp; "
Stable Runs (2-9) Mar 3, 2026 "</f>
        <v xml:space="preserve">gpt-4o-mini@2024-07-18
Stable Runs (2-9) Mar 3, 2026 </v>
      </c>
      <c r="Z3" s="27"/>
      <c r="AA3" s="27"/>
      <c r="AB3" s="28"/>
      <c r="AD3" s="48" t="str">
        <f>O3 &amp; "
All Runs Mar 5, 2026 Detailed Analysis"</f>
        <v>gpt-4o-mini@2024-07-18
All Runs Mar 5, 2026 Detailed Analysis</v>
      </c>
      <c r="AE3" s="49"/>
      <c r="AF3" s="49"/>
      <c r="AG3" s="50"/>
      <c r="AI3" s="26" t="str">
        <f>O3 &amp; "
Stable Runs (2-9) Mar 5, 2026 "</f>
        <v xml:space="preserve">gpt-4o-mini@2024-07-18
Stable Runs (2-9) Mar 5, 2026 </v>
      </c>
      <c r="AJ3" s="27"/>
      <c r="AK3" s="27"/>
      <c r="AL3" s="28"/>
    </row>
    <row r="4" spans="1:41" ht="15.75" thickBot="1" x14ac:dyDescent="0.3">
      <c r="A4" t="s">
        <v>12</v>
      </c>
      <c r="B4">
        <v>3</v>
      </c>
      <c r="C4" t="s">
        <v>13</v>
      </c>
      <c r="D4" t="s">
        <v>326</v>
      </c>
      <c r="E4" t="s">
        <v>327</v>
      </c>
      <c r="F4" s="1">
        <v>2.0833333333333333E-5</v>
      </c>
      <c r="G4" t="s">
        <v>16</v>
      </c>
      <c r="H4">
        <v>5</v>
      </c>
      <c r="I4">
        <v>81</v>
      </c>
      <c r="J4">
        <v>86</v>
      </c>
      <c r="L4" t="s">
        <v>17</v>
      </c>
      <c r="M4" s="3">
        <f t="shared" si="0"/>
        <v>1.0829999344423413</v>
      </c>
      <c r="O4" s="42"/>
      <c r="P4" s="43"/>
      <c r="Q4" s="43"/>
      <c r="R4" s="44"/>
      <c r="T4" s="29"/>
      <c r="U4" s="30"/>
      <c r="V4" s="30"/>
      <c r="W4" s="31"/>
      <c r="Y4" s="29"/>
      <c r="Z4" s="30"/>
      <c r="AA4" s="30"/>
      <c r="AB4" s="31"/>
      <c r="AD4" s="51"/>
      <c r="AE4" s="52"/>
      <c r="AF4" s="52"/>
      <c r="AG4" s="53"/>
      <c r="AI4" s="29"/>
      <c r="AJ4" s="30"/>
      <c r="AK4" s="30"/>
      <c r="AL4" s="31"/>
    </row>
    <row r="5" spans="1:41" x14ac:dyDescent="0.25">
      <c r="A5" t="s">
        <v>12</v>
      </c>
      <c r="B5">
        <v>4</v>
      </c>
      <c r="C5" t="s">
        <v>13</v>
      </c>
      <c r="D5" t="s">
        <v>328</v>
      </c>
      <c r="E5" t="s">
        <v>329</v>
      </c>
      <c r="F5" s="1">
        <v>1.1574074074074073E-5</v>
      </c>
      <c r="G5" t="s">
        <v>16</v>
      </c>
      <c r="H5">
        <v>5</v>
      </c>
      <c r="I5">
        <v>81</v>
      </c>
      <c r="J5">
        <v>86</v>
      </c>
      <c r="L5" t="s">
        <v>17</v>
      </c>
      <c r="M5" s="3">
        <f t="shared" si="0"/>
        <v>0.96200003754347563</v>
      </c>
      <c r="O5" s="8"/>
      <c r="P5" s="45" t="s">
        <v>643</v>
      </c>
      <c r="Q5" s="45"/>
      <c r="R5" s="46"/>
      <c r="T5" s="13" t="s">
        <v>637</v>
      </c>
      <c r="U5" s="32" t="s">
        <v>639</v>
      </c>
      <c r="V5" s="32"/>
      <c r="W5" s="33"/>
      <c r="Y5" s="13" t="s">
        <v>637</v>
      </c>
      <c r="Z5" s="32" t="s">
        <v>639</v>
      </c>
      <c r="AA5" s="32"/>
      <c r="AB5" s="33"/>
      <c r="AD5" s="13" t="s">
        <v>637</v>
      </c>
      <c r="AE5" s="32" t="s">
        <v>642</v>
      </c>
      <c r="AF5" s="32"/>
      <c r="AG5" s="33"/>
      <c r="AI5" s="13" t="s">
        <v>637</v>
      </c>
      <c r="AJ5" s="32" t="s">
        <v>642</v>
      </c>
      <c r="AK5" s="32"/>
      <c r="AL5" s="33"/>
    </row>
    <row r="6" spans="1:41" x14ac:dyDescent="0.25">
      <c r="A6" t="s">
        <v>12</v>
      </c>
      <c r="B6">
        <v>5</v>
      </c>
      <c r="C6" t="s">
        <v>13</v>
      </c>
      <c r="D6" t="s">
        <v>330</v>
      </c>
      <c r="E6" t="s">
        <v>331</v>
      </c>
      <c r="F6" s="1">
        <v>1.3888888888888888E-5</v>
      </c>
      <c r="G6" t="s">
        <v>16</v>
      </c>
      <c r="H6">
        <v>5</v>
      </c>
      <c r="I6">
        <v>81</v>
      </c>
      <c r="J6">
        <v>86</v>
      </c>
      <c r="L6" t="s">
        <v>17</v>
      </c>
      <c r="M6" s="3">
        <f t="shared" si="0"/>
        <v>1.0150002781301737</v>
      </c>
      <c r="O6" s="9" t="s">
        <v>0</v>
      </c>
      <c r="P6" s="34" t="str">
        <f>O3</f>
        <v>gpt-4o-mini@2024-07-18</v>
      </c>
      <c r="Q6" s="34"/>
      <c r="R6" s="35"/>
      <c r="T6" s="9" t="s">
        <v>0</v>
      </c>
      <c r="U6" s="34" t="str">
        <f>P6</f>
        <v>gpt-4o-mini@2024-07-18</v>
      </c>
      <c r="V6" s="34"/>
      <c r="W6" s="35"/>
      <c r="Y6" s="9" t="s">
        <v>0</v>
      </c>
      <c r="Z6" s="34" t="str">
        <f>U6</f>
        <v>gpt-4o-mini@2024-07-18</v>
      </c>
      <c r="AA6" s="34"/>
      <c r="AB6" s="35"/>
      <c r="AD6" s="9" t="s">
        <v>0</v>
      </c>
      <c r="AE6" s="34" t="str">
        <f>Z6</f>
        <v>gpt-4o-mini@2024-07-18</v>
      </c>
      <c r="AF6" s="34"/>
      <c r="AG6" s="35"/>
      <c r="AI6" s="9" t="s">
        <v>0</v>
      </c>
      <c r="AJ6" s="34" t="str">
        <f>AE6</f>
        <v>gpt-4o-mini@2024-07-18</v>
      </c>
      <c r="AK6" s="34"/>
      <c r="AL6" s="35"/>
    </row>
    <row r="7" spans="1:41" ht="15.75" thickBot="1" x14ac:dyDescent="0.3">
      <c r="A7" t="s">
        <v>12</v>
      </c>
      <c r="B7">
        <v>6</v>
      </c>
      <c r="C7" t="s">
        <v>13</v>
      </c>
      <c r="D7" t="s">
        <v>332</v>
      </c>
      <c r="E7" t="s">
        <v>333</v>
      </c>
      <c r="F7" s="1">
        <v>1.1574074074074073E-5</v>
      </c>
      <c r="G7" t="s">
        <v>16</v>
      </c>
      <c r="H7">
        <v>5</v>
      </c>
      <c r="I7">
        <v>81</v>
      </c>
      <c r="J7">
        <v>86</v>
      </c>
      <c r="L7" t="s">
        <v>17</v>
      </c>
      <c r="M7" s="3">
        <f t="shared" si="0"/>
        <v>0.99999960511922836</v>
      </c>
      <c r="O7" s="10"/>
      <c r="P7" s="11"/>
      <c r="Q7" s="11"/>
      <c r="R7" s="12"/>
      <c r="T7" s="10"/>
      <c r="U7" s="11"/>
      <c r="V7" s="11"/>
      <c r="W7" s="12"/>
      <c r="Y7" s="14" t="s">
        <v>640</v>
      </c>
      <c r="Z7" s="11">
        <v>2</v>
      </c>
      <c r="AA7" s="15" t="s">
        <v>641</v>
      </c>
      <c r="AB7" s="12">
        <v>9</v>
      </c>
      <c r="AD7" s="10"/>
      <c r="AE7" s="11"/>
      <c r="AF7" s="11"/>
      <c r="AG7" s="12"/>
      <c r="AI7" s="14" t="s">
        <v>640</v>
      </c>
      <c r="AJ7" s="11">
        <v>2</v>
      </c>
      <c r="AK7" s="15" t="s">
        <v>641</v>
      </c>
      <c r="AL7" s="12">
        <v>9</v>
      </c>
    </row>
    <row r="8" spans="1:41" x14ac:dyDescent="0.25">
      <c r="A8" t="s">
        <v>12</v>
      </c>
      <c r="B8">
        <v>7</v>
      </c>
      <c r="C8" t="s">
        <v>13</v>
      </c>
      <c r="D8" t="s">
        <v>334</v>
      </c>
      <c r="E8" t="s">
        <v>335</v>
      </c>
      <c r="F8" s="1">
        <v>1.1574074074074073E-5</v>
      </c>
      <c r="G8" t="s">
        <v>16</v>
      </c>
      <c r="H8">
        <v>5</v>
      </c>
      <c r="I8">
        <v>81</v>
      </c>
      <c r="J8">
        <v>86</v>
      </c>
      <c r="L8" t="s">
        <v>17</v>
      </c>
      <c r="M8" s="3">
        <f t="shared" si="0"/>
        <v>0.97899979446083307</v>
      </c>
      <c r="O8" s="7" t="s">
        <v>638</v>
      </c>
      <c r="P8" s="7" t="s">
        <v>13</v>
      </c>
      <c r="Q8" s="7" t="s">
        <v>36</v>
      </c>
      <c r="R8" s="7" t="s">
        <v>57</v>
      </c>
      <c r="T8" s="7" t="s">
        <v>638</v>
      </c>
      <c r="U8" s="7" t="s">
        <v>13</v>
      </c>
      <c r="V8" s="7" t="s">
        <v>36</v>
      </c>
      <c r="W8" s="7" t="s">
        <v>57</v>
      </c>
      <c r="Y8" s="7" t="s">
        <v>638</v>
      </c>
      <c r="Z8" s="7" t="s">
        <v>13</v>
      </c>
      <c r="AA8" t="s">
        <v>36</v>
      </c>
      <c r="AB8" s="7" t="s">
        <v>57</v>
      </c>
      <c r="AD8" s="7" t="s">
        <v>638</v>
      </c>
      <c r="AE8" s="7" t="s">
        <v>13</v>
      </c>
      <c r="AF8" s="7" t="s">
        <v>36</v>
      </c>
      <c r="AG8" s="7" t="s">
        <v>57</v>
      </c>
      <c r="AI8" s="7" t="s">
        <v>638</v>
      </c>
      <c r="AJ8" s="7" t="s">
        <v>13</v>
      </c>
      <c r="AK8" t="s">
        <v>36</v>
      </c>
      <c r="AL8" s="7" t="s">
        <v>57</v>
      </c>
    </row>
    <row r="9" spans="1:41" x14ac:dyDescent="0.25">
      <c r="A9" t="s">
        <v>12</v>
      </c>
      <c r="B9">
        <v>8</v>
      </c>
      <c r="C9" t="s">
        <v>13</v>
      </c>
      <c r="D9" t="s">
        <v>336</v>
      </c>
      <c r="E9" t="s">
        <v>337</v>
      </c>
      <c r="F9" s="1">
        <v>1.3888888888888888E-5</v>
      </c>
      <c r="G9" t="s">
        <v>16</v>
      </c>
      <c r="H9">
        <v>5</v>
      </c>
      <c r="I9">
        <v>81</v>
      </c>
      <c r="J9">
        <v>86</v>
      </c>
      <c r="L9" t="s">
        <v>17</v>
      </c>
      <c r="M9" s="3">
        <f t="shared" si="0"/>
        <v>1.0160004487261176</v>
      </c>
      <c r="O9" t="s">
        <v>382</v>
      </c>
      <c r="P9" s="4" cm="1">
        <f t="array" ref="P9">ROUND(AVERAGE(_xlfn._xlws.FILTER($M$2:$M$1000, ($A$2:$A$1000=$P6) * ($C$2:$C$1000=P$8))),2)</f>
        <v>1.4</v>
      </c>
      <c r="Q9" s="4" cm="1">
        <f t="array" ref="Q9">ROUND(AVERAGE(_xlfn._xlws.FILTER($M$2:$M$1000, ($A$2:$A$1000=$P6) * ($C$2:$C$1000=Q$8))),2)</f>
        <v>1.43</v>
      </c>
      <c r="R9" s="4" cm="1">
        <f t="array" ref="R9">ROUND(AVERAGE(_xlfn._xlws.FILTER($M$2:$M$1000, ($A$2:$A$1000=$P6) * ($C$2:$C$1000=R$8))),2)</f>
        <v>1.34</v>
      </c>
      <c r="T9" t="s">
        <v>382</v>
      </c>
      <c r="U9" s="4" cm="1">
        <f t="array" ref="U9">ROUND(AVERAGE(_xlfn._xlws.FILTER($M$2:$M$1000, ($A$2:$A$1000=$U6) * ($C$2:$C$1000=U$8) * (LEFT($D$2:$D$1000,10)=$U5))),2)</f>
        <v>1.35</v>
      </c>
      <c r="V9" s="4" cm="1">
        <f t="array" ref="V9">ROUND(AVERAGE(_xlfn._xlws.FILTER($M$2:$M$1000, ($A$2:$A$1000=$U6) * ($C$2:$C$1000=V$8) * (LEFT($D$2:$D$1000,10)=$U5))),2)</f>
        <v>1.36</v>
      </c>
      <c r="W9" s="4" cm="1">
        <f t="array" ref="W9">ROUND(AVERAGE(_xlfn._xlws.FILTER($M$2:$M$1000, ($A$2:$A$1000=$U6) * ($C$2:$C$1000=W$8) * (LEFT($D$2:$D$1000,10)=$U5))),2)</f>
        <v>1.21</v>
      </c>
      <c r="Y9" t="s">
        <v>382</v>
      </c>
      <c r="Z9" s="4" cm="1">
        <f t="array" ref="Z9">ROUND(AVERAGE(_xlfn._xlws.FILTER($M$2:$M$1000, ($A$2:$A$1000=$Z$6) * ($C$2:$C$1000=Z$8) * ($B$2:$B$1000&gt;=$Z$7) * ($B$2:$B$1000&lt;=$AB$7) * (LEFT($D$2:$D$1000,10)=$Z$5))),2)</f>
        <v>1.39</v>
      </c>
      <c r="AA9" s="4" cm="1">
        <f t="array" ref="AA9">ROUND(AVERAGE(_xlfn._xlws.FILTER($M$2:$M$1000, ($A$2:$A$1000=$Z$6) * ($C$2:$C$1000=AA$8) * ($B$2:$B$1000&gt;=$Z$7) * ($B$2:$B$1000&lt;=$AB$7) * (LEFT($D$2:$D$1000,10)=$Z$5))),2)</f>
        <v>1.25</v>
      </c>
      <c r="AB9" s="4" cm="1">
        <f t="array" ref="AB9">ROUND(AVERAGE(_xlfn._xlws.FILTER($M$2:$M$1000, ($A$2:$A$1000=$Z$6) * ($C$2:$C$1000=AB$8) * ($B$2:$B$1000&gt;=$Z$7) * ($B$2:$B$1000&lt;=$AB$7) * (LEFT($D$2:$D$1000,10)=$Z$5))),2)</f>
        <v>1.21</v>
      </c>
      <c r="AD9" t="s">
        <v>382</v>
      </c>
      <c r="AE9" s="4" cm="1">
        <f t="array" ref="AE9">ROUND(AVERAGE(_xlfn._xlws.FILTER($M$2:$M$1000, ($A$2:$A$1000=$AE6) * ($C$2:$C$1000=AE$8) * (LEFT($D$2:$D$1000,10)=$AE5))),2)</f>
        <v>1.45</v>
      </c>
      <c r="AF9" s="4" cm="1">
        <f t="array" ref="AF9">ROUND(AVERAGE(_xlfn._xlws.FILTER($M$2:$M$1000, ($A$2:$A$1000=$AE6) * ($C$2:$C$1000=AF$8) * (LEFT($D$2:$D$1000,10)=$AE5))),2)</f>
        <v>1.49</v>
      </c>
      <c r="AG9" s="4" cm="1">
        <f t="array" ref="AG9">ROUND(AVERAGE(_xlfn._xlws.FILTER($M$2:$M$1000, ($A$2:$A$1000=$AE6) * ($C$2:$C$1000=AG$8) * (LEFT($D$2:$D$1000,10)=$AE5))),2)</f>
        <v>1.48</v>
      </c>
      <c r="AI9" t="s">
        <v>382</v>
      </c>
      <c r="AJ9" s="4" cm="1">
        <f t="array" ref="AJ9">ROUND(AVERAGE(_xlfn._xlws.FILTER($M$2:$M$1000, ($A$2:$A$1000=$AJ$6) * ($C$2:$C$1000=AJ$8) * ($B$2:$B$1000&gt;=$AJ$7) * ($B$2:$B$1000&lt;=$AL$7) * (LEFT($D$2:$D$1000,10)=$AJ$5))),2)</f>
        <v>1.48</v>
      </c>
      <c r="AK9" s="4" cm="1">
        <f t="array" ref="AK9">ROUND(AVERAGE(_xlfn._xlws.FILTER($M$2:$M$1000, ($A$2:$A$1000=$AJ$6) * ($C$2:$C$1000=AK$8) * ($B$2:$B$1000&gt;=$AJ$7) * ($B$2:$B$1000&lt;=$AL$7) * (LEFT($D$2:$D$1000,10)=$AJ$5))),2)</f>
        <v>1.52</v>
      </c>
      <c r="AL9" s="4" cm="1">
        <f t="array" ref="AL9">ROUND(AVERAGE(_xlfn._xlws.FILTER($M$2:$M$1000, ($A$2:$A$1000=$AJ$6) * ($C$2:$C$1000=AL$8) * ($B$2:$B$1000&gt;=$AJ$7) * ($B$2:$B$1000&lt;=$AL$7) * (LEFT($D$2:$D$1000,10)=$AJ$5))),2)</f>
        <v>1.44</v>
      </c>
      <c r="AN9" s="23"/>
      <c r="AO9" s="23"/>
    </row>
    <row r="10" spans="1:41" x14ac:dyDescent="0.25">
      <c r="A10" t="s">
        <v>12</v>
      </c>
      <c r="B10">
        <v>9</v>
      </c>
      <c r="C10" t="s">
        <v>13</v>
      </c>
      <c r="D10" t="s">
        <v>338</v>
      </c>
      <c r="E10" t="s">
        <v>339</v>
      </c>
      <c r="F10" s="1">
        <v>1.3888888888888888E-5</v>
      </c>
      <c r="G10" t="s">
        <v>16</v>
      </c>
      <c r="H10">
        <v>5</v>
      </c>
      <c r="I10">
        <v>81</v>
      </c>
      <c r="J10">
        <v>86</v>
      </c>
      <c r="L10" t="s">
        <v>17</v>
      </c>
      <c r="M10" s="3">
        <f t="shared" si="0"/>
        <v>1.0180001612752676</v>
      </c>
      <c r="O10" t="s">
        <v>383</v>
      </c>
      <c r="P10" s="4" cm="1">
        <f t="array" ref="P10">ROUND(MEDIAN(IF(($A:$A=$P6)*($C:$C=P$8), $M:$M)),2)</f>
        <v>1.3</v>
      </c>
      <c r="Q10" s="4" cm="1">
        <f t="array" ref="Q10">ROUND(MEDIAN(IF(($A:$A=$P6)*($C:$C=Q$8), $M:$M)),2)</f>
        <v>1.29</v>
      </c>
      <c r="R10" s="4" cm="1">
        <f t="array" ref="R10">ROUND(MEDIAN(IF(($A:$A=$P6)*($C:$C=R$8), $M:$M)),2)</f>
        <v>1.24</v>
      </c>
      <c r="T10" t="s">
        <v>383</v>
      </c>
      <c r="U10" s="4" cm="1">
        <f t="array" ref="U10">ROUND(MEDIAN(_xlfn._xlws.FILTER($M$2:$M$1000, ($A$2:$A$1000=$U6) * ($C$2:$C$1000=U$8) * (LEFT($D$2:$D$1000,10)=$U5))),2)</f>
        <v>1.28</v>
      </c>
      <c r="V10" s="4" cm="1">
        <f t="array" ref="V10">ROUND(MEDIAN(_xlfn._xlws.FILTER($M$2:$M$1000, ($A$2:$A$1000=$U6) * ($C$2:$C$1000=V$8) * (LEFT($D$2:$D$1000,10)=$U5))),2)</f>
        <v>1.24</v>
      </c>
      <c r="W10" s="4" cm="1">
        <f t="array" ref="W10">ROUND(MEDIAN(_xlfn._xlws.FILTER($M$2:$M$1000, ($A$2:$A$1000=$U6) * ($C$2:$C$1000=W$8) * (LEFT($D$2:$D$1000,10)=$U5))),2)</f>
        <v>1.1599999999999999</v>
      </c>
      <c r="Y10" t="s">
        <v>383</v>
      </c>
      <c r="Z10" s="4" cm="1">
        <f t="array" ref="Z10">ROUND(MEDIAN(_xlfn._xlws.FILTER($M$2:$M$1000, ($A$2:$A$1000=$Z6) * ($C$2:$C$1000=Z$8) *  ($B$2:$B$1000&gt;=$Z$7) * ($B$2:$B$1000&lt;=$AB$7) * (LEFT($D$2:$D$1000,10)=$Z5))),2)</f>
        <v>1.28</v>
      </c>
      <c r="AA10" s="4" cm="1">
        <f t="array" ref="AA10">ROUND(MEDIAN(_xlfn._xlws.FILTER($M$2:$M$1000, ($A$2:$A$1000=$Z6) * ($C$2:$C$1000=AA$8) *  ($B$2:$B$1000&gt;=$Z$7) * ($B$2:$B$1000&lt;=$AB$7) * (LEFT($D$2:$D$1000,10)=$Z5))),2)</f>
        <v>1.24</v>
      </c>
      <c r="AB10" s="4" cm="1">
        <f t="array" ref="AB10">ROUND(MEDIAN(_xlfn._xlws.FILTER($M$2:$M$1000, ($A$2:$A$1000=$Z6) * ($C$2:$C$1000=AB$8) *  ($B$2:$B$1000&gt;=$Z$7) * ($B$2:$B$1000&lt;=$AB$7) * (LEFT($D$2:$D$1000,10)=$Z5))),2)</f>
        <v>1.1599999999999999</v>
      </c>
      <c r="AD10" t="s">
        <v>383</v>
      </c>
      <c r="AE10" s="4" cm="1">
        <f t="array" ref="AE10">ROUND(MEDIAN(_xlfn._xlws.FILTER($M$2:$M$1000, ($A$2:$A$1000=$AE6) * ($C$2:$C$1000=AE$8) * (LEFT($D$2:$D$1000,10)=$AE5))),2)</f>
        <v>1.33</v>
      </c>
      <c r="AF10" s="4" cm="1">
        <f t="array" ref="AF10">ROUND(MEDIAN(_xlfn._xlws.FILTER($M$2:$M$1000, ($A$2:$A$1000=$AE6) * ($C$2:$C$1000=AF$8) * (LEFT($D$2:$D$1000,10)=$AE5))),2)</f>
        <v>1.34</v>
      </c>
      <c r="AG10" s="4" cm="1">
        <f t="array" ref="AG10">ROUND(MEDIAN(_xlfn._xlws.FILTER($M$2:$M$1000, ($A$2:$A$1000=$AE6) * ($C$2:$C$1000=AG$8) * (LEFT($D$2:$D$1000,10)=$AE5))),2)</f>
        <v>1.42</v>
      </c>
      <c r="AI10" t="s">
        <v>383</v>
      </c>
      <c r="AJ10" s="4" cm="1">
        <f t="array" ref="AJ10">ROUND(MEDIAN(_xlfn._xlws.FILTER($M$2:$M$1000, ($A$2:$A$1000=$AJ6) * ($C$2:$C$1000=AJ$8) *  ($B$2:$B$1000&gt;=$AJ$7) * ($B$2:$B$1000&lt;=$AL$7) * (LEFT($D$2:$D$1000,10)=$AJ5))),2)</f>
        <v>1.44</v>
      </c>
      <c r="AK10" s="4" cm="1">
        <f t="array" ref="AK10">ROUND(MEDIAN(_xlfn._xlws.FILTER($M$2:$M$1000, ($A$2:$A$1000=$AJ6) * ($C$2:$C$1000=AK$8) *  ($B$2:$B$1000&gt;=$AJ$7) * ($B$2:$B$1000&lt;=$AL$7) * (LEFT($D$2:$D$1000,10)=$AJ5))),2)</f>
        <v>1.33</v>
      </c>
      <c r="AL10" s="4" cm="1">
        <f t="array" ref="AL10">ROUND(MEDIAN(_xlfn._xlws.FILTER($M$2:$M$1000, ($A$2:$A$1000=$AJ6) * ($C$2:$C$1000=AL$8) *  ($B$2:$B$1000&gt;=$AJ$7) * ($B$2:$B$1000&lt;=$AL$7) * (LEFT($D$2:$D$1000,10)=$AJ5))),2)</f>
        <v>1.42</v>
      </c>
    </row>
    <row r="11" spans="1:41" x14ac:dyDescent="0.25">
      <c r="A11" t="s">
        <v>12</v>
      </c>
      <c r="B11">
        <v>10</v>
      </c>
      <c r="C11" t="s">
        <v>13</v>
      </c>
      <c r="D11" t="s">
        <v>340</v>
      </c>
      <c r="E11" t="s">
        <v>341</v>
      </c>
      <c r="F11" s="1">
        <v>1.7361111111111111E-5</v>
      </c>
      <c r="G11" t="s">
        <v>16</v>
      </c>
      <c r="H11">
        <v>5</v>
      </c>
      <c r="I11">
        <v>81</v>
      </c>
      <c r="J11">
        <v>86</v>
      </c>
      <c r="L11" t="s">
        <v>17</v>
      </c>
      <c r="M11" s="3">
        <f t="shared" si="0"/>
        <v>1.0459999088197947</v>
      </c>
      <c r="O11" t="s">
        <v>631</v>
      </c>
      <c r="P11" s="19" cm="1">
        <f t="array" ref="P11">ROUND(_xlfn.QUARTILE.INC(IF(($A:$A=$P6)*($C:$C=P$8),$M:$M),1),2)</f>
        <v>1.27</v>
      </c>
      <c r="Q11" s="19" cm="1">
        <f t="array" ref="Q11">ROUND(_xlfn.QUARTILE.INC(IF(($A:$A=$P6)*($C:$C=Q$8),$M:$M),1),2)</f>
        <v>1.22</v>
      </c>
      <c r="R11" s="19" cm="1">
        <f t="array" ref="R11">ROUND(_xlfn.QUARTILE.INC(IF(($A:$A=$P6)*($C:$C=R$8),$M:$M),1),2)</f>
        <v>1.1499999999999999</v>
      </c>
      <c r="T11" t="s">
        <v>631</v>
      </c>
      <c r="U11" s="4" cm="1">
        <f t="array" ref="U11">ROUND(_xlfn.QUARTILE.INC(_xlfn._xlws.FILTER($M$2:$M$1000, ($A$2:$A$1000=$U6) * ($C$2:$C$1000=U$8) * (LEFT($D$2:$D$1000,10)=$U5)), 1),2)</f>
        <v>1.25</v>
      </c>
      <c r="V11" s="4" cm="1">
        <f t="array" ref="V11">ROUND(_xlfn.QUARTILE.INC(_xlfn._xlws.FILTER($M$2:$M$1000, ($A$2:$A$1000=$U6) * ($C$2:$C$1000=V$8) * (LEFT($D$2:$D$1000,10)=$U5)), 1),2)</f>
        <v>1.18</v>
      </c>
      <c r="W11" s="4" cm="1">
        <f t="array" ref="W11">ROUND(_xlfn.QUARTILE.INC(_xlfn._xlws.FILTER($M$2:$M$1000, ($A$2:$A$1000=$U6) * ($C$2:$C$1000=W$8) * (LEFT($D$2:$D$1000,10)=$U5)), 1),2)</f>
        <v>1.1399999999999999</v>
      </c>
      <c r="Y11" t="s">
        <v>631</v>
      </c>
      <c r="Z11" s="4" cm="1">
        <f t="array" ref="Z11">ROUND(_xlfn.QUARTILE.INC(_xlfn._xlws.FILTER($M$2:$M$1000, ($A$2:$A$1000=$Z6) * ($C$2:$C$1000=Z$8) *  ($B$2:$B$1000&gt;=$Z$7) * ($B$2:$B$1000&lt;=$AB$7) * (LEFT($D$2:$D$1000,10)=$Z5)), 1),2)</f>
        <v>1.26</v>
      </c>
      <c r="AA11" s="4" cm="1">
        <f t="array" ref="AA11">ROUND(_xlfn.QUARTILE.INC(_xlfn._xlws.FILTER($M$2:$M$1000, ($A$2:$A$1000=$Z6) * ($C$2:$C$1000=AA$8) *  ($B$2:$B$1000&gt;=$Z$7) * ($B$2:$B$1000&lt;=$AB$7) * (LEFT($D$2:$D$1000,10)=$Z5)), 1),2)</f>
        <v>1.18</v>
      </c>
      <c r="AB11" s="4" cm="1">
        <f t="array" ref="AB11">ROUND(_xlfn.QUARTILE.INC(_xlfn._xlws.FILTER($M$2:$M$1000, ($A$2:$A$1000=$Z6) * ($C$2:$C$1000=AB$8) *  ($B$2:$B$1000&gt;=$Z$7) * ($B$2:$B$1000&lt;=$AB$7) * (LEFT($D$2:$D$1000,10)=$Z5)), 1),2)</f>
        <v>1.1399999999999999</v>
      </c>
      <c r="AD11" t="s">
        <v>631</v>
      </c>
      <c r="AE11" s="4" cm="1">
        <f t="array" ref="AE11">ROUND(_xlfn.QUARTILE.INC(_xlfn._xlws.FILTER($M$2:$M$1000, ($A$2:$A$1000=$AE6) * ($C$2:$C$1000=AE$8) * (LEFT($D$2:$D$1000,10)=$AE5)), 1),2)</f>
        <v>1.29</v>
      </c>
      <c r="AF11" s="4" cm="1">
        <f t="array" ref="AF11">ROUND(_xlfn.QUARTILE.INC(_xlfn._xlws.FILTER($M$2:$M$1000, ($A$2:$A$1000=$AE6) * ($C$2:$C$1000=AF$8) * (LEFT($D$2:$D$1000,10)=$AE5)), 1),2)</f>
        <v>1.31</v>
      </c>
      <c r="AG11" s="4" cm="1">
        <f t="array" ref="AG11">ROUND(_xlfn.QUARTILE.INC(_xlfn._xlws.FILTER($M$2:$M$1000, ($A$2:$A$1000=$AE6) * ($C$2:$C$1000=AG$8) * (LEFT($D$2:$D$1000,10)=$AE5)), 1),2)</f>
        <v>1.26</v>
      </c>
      <c r="AI11" t="s">
        <v>631</v>
      </c>
      <c r="AJ11" s="4" cm="1">
        <f t="array" ref="AJ11">ROUND(_xlfn.QUARTILE.INC(_xlfn._xlws.FILTER($M$2:$M$1000, ($A$2:$A$1000=$AJ6) * ($C$2:$C$1000=AJ$8) *  ($B$2:$B$1000&gt;=$AJ$7) * ($B$2:$B$1000&lt;=$AL$7) * (LEFT($D$2:$D$1000,10)=$AJ5)), 1),2)</f>
        <v>1.29</v>
      </c>
      <c r="AK11" s="4" cm="1">
        <f t="array" ref="AK11">ROUND(_xlfn.QUARTILE.INC(_xlfn._xlws.FILTER($M$2:$M$1000, ($A$2:$A$1000=$AJ6) * ($C$2:$C$1000=AK$8) *  ($B$2:$B$1000&gt;=$AJ$7) * ($B$2:$B$1000&lt;=$AL$7) * (LEFT($D$2:$D$1000,10)=$AJ5)), 1),2)</f>
        <v>1.3</v>
      </c>
      <c r="AL11" s="4" cm="1">
        <f t="array" ref="AL11">ROUND(_xlfn.QUARTILE.INC(_xlfn._xlws.FILTER($M$2:$M$1000, ($A$2:$A$1000=$AJ6) * ($C$2:$C$1000=AL$8) *  ($B$2:$B$1000&gt;=$AJ$7) * ($B$2:$B$1000&lt;=$AL$7) * (LEFT($D$2:$D$1000,10)=$AJ5)), 1),2)</f>
        <v>1.26</v>
      </c>
    </row>
    <row r="12" spans="1:41" x14ac:dyDescent="0.25">
      <c r="A12" t="s">
        <v>12</v>
      </c>
      <c r="B12">
        <v>1</v>
      </c>
      <c r="C12" t="s">
        <v>36</v>
      </c>
      <c r="D12" t="s">
        <v>342</v>
      </c>
      <c r="E12" t="s">
        <v>343</v>
      </c>
      <c r="F12" s="1">
        <v>1.2731481481481482E-5</v>
      </c>
      <c r="G12" t="s">
        <v>16</v>
      </c>
      <c r="H12">
        <v>5</v>
      </c>
      <c r="I12">
        <v>173</v>
      </c>
      <c r="J12">
        <v>178</v>
      </c>
      <c r="L12" t="s">
        <v>17</v>
      </c>
      <c r="M12" s="3">
        <f t="shared" si="0"/>
        <v>1.0120003949850798</v>
      </c>
      <c r="O12" t="s">
        <v>632</v>
      </c>
      <c r="P12" s="19" cm="1">
        <f t="array" ref="P12">ROUND(_xlfn.QUARTILE.INC(IF(($A:$A=$P6)*($C:$C=P$8),$M:$M),3),2)</f>
        <v>1.42</v>
      </c>
      <c r="Q12" s="19" cm="1">
        <f t="array" ref="Q12">ROUND(_xlfn.QUARTILE.INC(IF(($A:$A=$P6)*($C:$C=Q$8),$M:$M),3),2)</f>
        <v>1.43</v>
      </c>
      <c r="R12" s="19" cm="1">
        <f t="array" ref="R12">ROUND(_xlfn.QUARTILE.INC(IF(($A:$A=$P6)*($C:$C=R$8),$M:$M),3),2)</f>
        <v>1.46</v>
      </c>
      <c r="T12" t="s">
        <v>632</v>
      </c>
      <c r="U12" s="4" cm="1">
        <f t="array" ref="U12">ROUND(_xlfn.QUARTILE.INC(_xlfn._xlws.FILTER($M$2:$M$1000, ($A$2:$A$1000=$U6) * ($C$2:$C$1000=U$8) * (LEFT($D$2:$D$1000,10)=$U5)), 3),2)</f>
        <v>1.31</v>
      </c>
      <c r="V12" s="4" cm="1">
        <f t="array" ref="V12">ROUND(_xlfn.QUARTILE.INC(_xlfn._xlws.FILTER($M$2:$M$1000, ($A$2:$A$1000=$U6) * ($C$2:$C$1000=V$8) * (LEFT($D$2:$D$1000,10)=$U5)), 3),2)</f>
        <v>1.27</v>
      </c>
      <c r="W12" s="4" cm="1">
        <f t="array" ref="W12">ROUND(_xlfn.QUARTILE.INC(_xlfn._xlws.FILTER($M$2:$M$1000, ($A$2:$A$1000=$U6) * ($C$2:$C$1000=W$8) * (LEFT($D$2:$D$1000,10)=$U5)), 3),2)</f>
        <v>1.24</v>
      </c>
      <c r="Y12" t="s">
        <v>632</v>
      </c>
      <c r="Z12" s="4" cm="1">
        <f t="array" ref="Z12">ROUND(_xlfn.QUARTILE.INC(_xlfn._xlws.FILTER($M$2:$M$1000, ($A$2:$A$1000=$Z6) * ($C$2:$C$1000=Z$8) *  ($B$2:$B$1000&gt;=$Z$7) * ($B$2:$B$1000&lt;=$AB$7) * (LEFT($D$2:$D$1000,10)=$Z5)), 3),2)</f>
        <v>1.32</v>
      </c>
      <c r="AA12" s="4" cm="1">
        <f t="array" ref="AA12">ROUND(_xlfn.QUARTILE.INC(_xlfn._xlws.FILTER($M$2:$M$1000, ($A$2:$A$1000=$Z6) * ($C$2:$C$1000=AA$8) *  ($B$2:$B$1000&gt;=$Z$7) * ($B$2:$B$1000&lt;=$AB$7) * (LEFT($D$2:$D$1000,10)=$Z5)), 3),2)</f>
        <v>1.26</v>
      </c>
      <c r="AB12" s="4" cm="1">
        <f t="array" ref="AB12">ROUND(_xlfn.QUARTILE.INC(_xlfn._xlws.FILTER($M$2:$M$1000, ($A$2:$A$1000=$Z6) * ($C$2:$C$1000=AB$8) *  ($B$2:$B$1000&gt;=$Z$7) * ($B$2:$B$1000&lt;=$AB$7) * (LEFT($D$2:$D$1000,10)=$Z5)), 3),2)</f>
        <v>1.24</v>
      </c>
      <c r="AD12" t="s">
        <v>632</v>
      </c>
      <c r="AE12" s="4" cm="1">
        <f t="array" ref="AE12">ROUND(_xlfn.QUARTILE.INC(_xlfn._xlws.FILTER($M$2:$M$1000, ($A$2:$A$1000=$AE6) * ($C$2:$C$1000=AE$8) * (LEFT($D$2:$D$1000,10)=$AE5)), 3),2)</f>
        <v>1.65</v>
      </c>
      <c r="AF12" s="4" cm="1">
        <f t="array" ref="AF12">ROUND(_xlfn.QUARTILE.INC(_xlfn._xlws.FILTER($M$2:$M$1000, ($A$2:$A$1000=$AE6) * ($C$2:$C$1000=AF$8) * (LEFT($D$2:$D$1000,10)=$AE5)), 3),2)</f>
        <v>1.47</v>
      </c>
      <c r="AG12" s="4" cm="1">
        <f t="array" ref="AG12">ROUND(_xlfn.QUARTILE.INC(_xlfn._xlws.FILTER($M$2:$M$1000, ($A$2:$A$1000=$AE6) * ($C$2:$C$1000=AG$8) * (LEFT($D$2:$D$1000,10)=$AE5)), 3),2)</f>
        <v>1.57</v>
      </c>
      <c r="AI12" t="s">
        <v>632</v>
      </c>
      <c r="AJ12" s="4" cm="1">
        <f t="array" ref="AJ12">ROUND(_xlfn.QUARTILE.INC(_xlfn._xlws.FILTER($M$2:$M$1000, ($A$2:$A$1000=$AJ6) * ($C$2:$C$1000=AJ$8) *  ($B$2:$B$1000&gt;=$AJ$7) * ($B$2:$B$1000&lt;=$AL$7) * (LEFT($D$2:$D$1000,10)=$AJ5)), 3),2)</f>
        <v>1.67</v>
      </c>
      <c r="AK12" s="4" cm="1">
        <f t="array" ref="AK12">ROUND(_xlfn.QUARTILE.INC(_xlfn._xlws.FILTER($M$2:$M$1000, ($A$2:$A$1000=$AJ6) * ($C$2:$C$1000=AK$8) *  ($B$2:$B$1000&gt;=$AJ$7) * ($B$2:$B$1000&lt;=$AL$7) * (LEFT($D$2:$D$1000,10)=$AJ5)), 3),2)</f>
        <v>1.6</v>
      </c>
      <c r="AL12" s="4" cm="1">
        <f t="array" ref="AL12">ROUND(_xlfn.QUARTILE.INC(_xlfn._xlws.FILTER($M$2:$M$1000, ($A$2:$A$1000=$AJ6) * ($C$2:$C$1000=AL$8) *  ($B$2:$B$1000&gt;=$AJ$7) * ($B$2:$B$1000&lt;=$AL$7) * (LEFT($D$2:$D$1000,10)=$AJ5)), 3),2)</f>
        <v>1.52</v>
      </c>
    </row>
    <row r="13" spans="1:41" x14ac:dyDescent="0.25">
      <c r="A13" t="s">
        <v>12</v>
      </c>
      <c r="B13">
        <v>2</v>
      </c>
      <c r="C13" t="s">
        <v>36</v>
      </c>
      <c r="D13" t="s">
        <v>344</v>
      </c>
      <c r="E13" t="s">
        <v>345</v>
      </c>
      <c r="F13" s="1">
        <v>1.3888888888888888E-5</v>
      </c>
      <c r="G13" t="s">
        <v>16</v>
      </c>
      <c r="H13">
        <v>5</v>
      </c>
      <c r="I13">
        <v>173</v>
      </c>
      <c r="J13">
        <v>178</v>
      </c>
      <c r="L13" t="s">
        <v>17</v>
      </c>
      <c r="M13" s="3">
        <f t="shared" si="0"/>
        <v>1.1659996351227164</v>
      </c>
      <c r="O13" t="s">
        <v>664</v>
      </c>
      <c r="P13" s="4">
        <f>ROUND(_xlfn.MINIFS($M:$M, $A:$A, $P6, $C:$C, P$8),2)</f>
        <v>1.1100000000000001</v>
      </c>
      <c r="Q13" s="4">
        <f>ROUND(_xlfn.MINIFS($M:$M, $A:$A, $P6, $C:$C, Q$8),2)</f>
        <v>1.1100000000000001</v>
      </c>
      <c r="R13" s="4">
        <f>ROUND(_xlfn.MINIFS($M:$M, $A:$A, $P6, $C:$C, R$8),2)</f>
        <v>1.1000000000000001</v>
      </c>
      <c r="T13" t="s">
        <v>633</v>
      </c>
      <c r="U13" s="4" cm="1">
        <f t="array" ref="U13">ROUND(MIN(_xlfn._xlws.FILTER($M$2:$M$1000, ($A$2:$A$1000=$U6) * ($C$2:$C$1000=U$8) * (LEFT($D$2:$D$1000,10)=$U5))),2)</f>
        <v>1.1100000000000001</v>
      </c>
      <c r="V13" s="4" cm="1">
        <f t="array" ref="V13">ROUND(MIN(_xlfn._xlws.FILTER($M$2:$M$1000, ($A$2:$A$1000=$U6) * ($C$2:$C$1000=V$8) * (LEFT($D$2:$D$1000,10)=$U5))),2)</f>
        <v>1.1100000000000001</v>
      </c>
      <c r="W13" s="4" cm="1">
        <f t="array" ref="W13">ROUND(MIN(_xlfn._xlws.FILTER($M$2:$M$1000, ($A$2:$A$1000=$U6) * ($C$2:$C$1000=W$8) * (LEFT($D$2:$D$1000,10)=$U5))),2)</f>
        <v>1.1000000000000001</v>
      </c>
      <c r="Y13" t="s">
        <v>633</v>
      </c>
      <c r="Z13" s="4" cm="1">
        <f t="array" ref="Z13">ROUND(MIN(_xlfn._xlws.FILTER($M$2:$M$1000, ($A$2:$A$1000=$Z6) * ($C$2:$C$1000=Z$8) *  ($B$2:$B$1000&gt;=$Z$7) * ($B$2:$B$1000&lt;=$AB$7) * (LEFT($D$2:$D$1000,10)=$Z5))),2)</f>
        <v>1.1100000000000001</v>
      </c>
      <c r="AA13" s="4" cm="1">
        <f t="array" ref="AA13">ROUND(MIN(_xlfn._xlws.FILTER($M$2:$M$1000, ($A$2:$A$1000=$Z6) * ($C$2:$C$1000=AA$8) *  ($B$2:$B$1000&gt;=$Z$7) * ($B$2:$B$1000&lt;=$AB$7) * (LEFT($D$2:$D$1000,10)=$Z5))),2)</f>
        <v>1.1100000000000001</v>
      </c>
      <c r="AB13" s="4" cm="1">
        <f t="array" ref="AB13">ROUND(MIN(_xlfn._xlws.FILTER($M$2:$M$1000, ($A$2:$A$1000=$Z6) * ($C$2:$C$1000=AB$8) *  ($B$2:$B$1000&gt;=$Z$7) * ($B$2:$B$1000&lt;=$AB$7) * (LEFT($D$2:$D$1000,10)=$Z5))),2)</f>
        <v>1.1200000000000001</v>
      </c>
      <c r="AD13" t="s">
        <v>633</v>
      </c>
      <c r="AE13" s="4" cm="1">
        <f t="array" ref="AE13">ROUND(MIN(_xlfn._xlws.FILTER($M$2:$M$1000, ($A$2:$A$1000=$AE6) * ($C$2:$C$1000=AE$8) * (LEFT($D$2:$D$1000,10)=$AE5))),2)</f>
        <v>1.25</v>
      </c>
      <c r="AF13" s="4" cm="1">
        <f t="array" ref="AF13">ROUND(MIN(_xlfn._xlws.FILTER($M$2:$M$1000, ($A$2:$A$1000=$AE6) * ($C$2:$C$1000=AF$8) * (LEFT($D$2:$D$1000,10)=$AE5))),2)</f>
        <v>1.21</v>
      </c>
      <c r="AG13" s="4" cm="1">
        <f t="array" ref="AG13">ROUND(MIN(_xlfn._xlws.FILTER($M$2:$M$1000, ($A$2:$A$1000=$AE6) * ($C$2:$C$1000=AG$8) * (LEFT($D$2:$D$1000,10)=$AE5))),2)</f>
        <v>1.1100000000000001</v>
      </c>
      <c r="AI13" t="s">
        <v>633</v>
      </c>
      <c r="AJ13" s="4" cm="1">
        <f t="array" ref="AJ13">ROUND(MIN(_xlfn._xlws.FILTER($M$2:$M$1000, ($A$2:$A$1000=$AJ6) * ($C$2:$C$1000=AJ$8) *  ($B$2:$B$1000&gt;=$AJ$7) * ($B$2:$B$1000&lt;=$AL$7) * (LEFT($D$2:$D$1000,10)=$AJ5))),2)</f>
        <v>1.25</v>
      </c>
      <c r="AK13" s="4" cm="1">
        <f t="array" ref="AK13">ROUND(MIN(_xlfn._xlws.FILTER($M$2:$M$1000, ($A$2:$A$1000=$AJ6) * ($C$2:$C$1000=AK$8) *  ($B$2:$B$1000&gt;=$AJ$7) * ($B$2:$B$1000&lt;=$AL$7) * (LEFT($D$2:$D$1000,10)=$AJ5))),2)</f>
        <v>1.21</v>
      </c>
      <c r="AL13" s="4" cm="1">
        <f t="array" ref="AL13">ROUND(MIN(_xlfn._xlws.FILTER($M$2:$M$1000, ($A$2:$A$1000=$AJ6) * ($C$2:$C$1000=AL$8) *  ($B$2:$B$1000&gt;=$AJ$7) * ($B$2:$B$1000&lt;=$AL$7) * (LEFT($D$2:$D$1000,10)=$AJ5))),2)</f>
        <v>1.1100000000000001</v>
      </c>
    </row>
    <row r="14" spans="1:41" x14ac:dyDescent="0.25">
      <c r="A14" t="s">
        <v>12</v>
      </c>
      <c r="B14">
        <v>3</v>
      </c>
      <c r="C14" t="s">
        <v>36</v>
      </c>
      <c r="D14" t="s">
        <v>346</v>
      </c>
      <c r="E14" t="s">
        <v>347</v>
      </c>
      <c r="F14" s="1">
        <v>1.6203703703703704E-5</v>
      </c>
      <c r="G14" t="s">
        <v>16</v>
      </c>
      <c r="H14">
        <v>5</v>
      </c>
      <c r="I14">
        <v>173</v>
      </c>
      <c r="J14">
        <v>178</v>
      </c>
      <c r="L14" t="s">
        <v>17</v>
      </c>
      <c r="M14" s="3">
        <f t="shared" si="0"/>
        <v>1.0430000256747007</v>
      </c>
      <c r="O14" t="s">
        <v>665</v>
      </c>
      <c r="P14" s="4">
        <f>ROUND(_xlfn.MAXIFS($M:$M, $A:$A, $P6, $C:$C, P$8),2)</f>
        <v>2.2599999999999998</v>
      </c>
      <c r="Q14" s="4">
        <f>ROUND(_xlfn.MAXIFS($M:$M, $A:$A, $P6, $C:$C, Q$8),2)</f>
        <v>2.54</v>
      </c>
      <c r="R14" s="4">
        <f>ROUND(_xlfn.MAXIFS($M:$M, $A:$A, $P6, $C:$C, R$8),2)</f>
        <v>2.0299999999999998</v>
      </c>
      <c r="T14" t="s">
        <v>634</v>
      </c>
      <c r="U14" s="4" cm="1">
        <f t="array" ref="U14">ROUND(MAX(_xlfn._xlws.FILTER($M$2:$M$1000, ($A$2:$A$1000=$U6) * ($C$2:$C$1000=U$8) * (LEFT($D$2:$D$1000,10)=$U5))),2)</f>
        <v>2.2599999999999998</v>
      </c>
      <c r="V14" s="4" cm="1">
        <f t="array" ref="V14">ROUND(MAX(_xlfn._xlws.FILTER($M$2:$M$1000, ($A$2:$A$1000=$U6) * ($C$2:$C$1000=V$8) * (LEFT($D$2:$D$1000,10)=$U5))),2)</f>
        <v>2.54</v>
      </c>
      <c r="W14" s="4" cm="1">
        <f t="array" ref="W14">ROUND(MAX(_xlfn._xlws.FILTER($M$2:$M$1000, ($A$2:$A$1000=$U6) * ($C$2:$C$1000=W$8) * (LEFT($D$2:$D$1000,10)=$U5))),2)</f>
        <v>1.49</v>
      </c>
      <c r="Y14" t="s">
        <v>634</v>
      </c>
      <c r="Z14" s="4" cm="1">
        <f t="array" ref="Z14">ROUND(MAX(_xlfn._xlws.FILTER($M$2:$M$1000, ($A$2:$A$1000=$Z6) * ($C$2:$C$1000=Z$8) *  ($B$2:$B$1000&gt;=$Z$7) * ($B$2:$B$1000&lt;=$AB$7) * (LEFT($D$2:$D$1000,10)=$Z5))),2)</f>
        <v>2.2599999999999998</v>
      </c>
      <c r="AA14" s="4" cm="1">
        <f t="array" ref="AA14">ROUND(MAX(_xlfn._xlws.FILTER($M$2:$M$1000, ($A$2:$A$1000=$Z6) * ($C$2:$C$1000=AA$8) *  ($B$2:$B$1000&gt;=$Z$7) * ($B$2:$B$1000&lt;=$AB$7) * (LEFT($D$2:$D$1000,10)=$Z5))),2)</f>
        <v>1.5</v>
      </c>
      <c r="AB14" s="4" cm="1">
        <f t="array" ref="AB14">ROUND(MAX(_xlfn._xlws.FILTER($M$2:$M$1000, ($A$2:$A$1000=$Z6) * ($C$2:$C$1000=AB$8) *  ($B$2:$B$1000&gt;=$Z$7) * ($B$2:$B$1000&lt;=$AB$7) * (LEFT($D$2:$D$1000,10)=$Z5))),2)</f>
        <v>1.49</v>
      </c>
      <c r="AD14" t="s">
        <v>634</v>
      </c>
      <c r="AE14" s="4" cm="1">
        <f t="array" ref="AE14">ROUND(MAX(_xlfn._xlws.FILTER($M$2:$M$1000, ($A$2:$A$1000=$AE6) * ($C$2:$C$1000=AE$8) * (LEFT($D$2:$D$1000,10)=$AE5))),2)</f>
        <v>1.76</v>
      </c>
      <c r="AF14" s="4" cm="1">
        <f t="array" ref="AF14">ROUND(MAX(_xlfn._xlws.FILTER($M$2:$M$1000, ($A$2:$A$1000=$AE6) * ($C$2:$C$1000=AF$8) * (LEFT($D$2:$D$1000,10)=$AE5))),2)</f>
        <v>2.2999999999999998</v>
      </c>
      <c r="AG14" s="4" cm="1">
        <f t="array" ref="AG14">ROUND(MAX(_xlfn._xlws.FILTER($M$2:$M$1000, ($A$2:$A$1000=$AE6) * ($C$2:$C$1000=AG$8) * (LEFT($D$2:$D$1000,10)=$AE5))),2)</f>
        <v>2.0299999999999998</v>
      </c>
      <c r="AI14" t="s">
        <v>634</v>
      </c>
      <c r="AJ14" s="4" cm="1">
        <f t="array" ref="AJ14">ROUND(MAX(_xlfn._xlws.FILTER($M$2:$M$1000, ($A$2:$A$1000=$AJ6) * ($C$2:$C$1000=AJ$8) *  ($B$2:$B$1000&gt;=$AJ$7) * ($B$2:$B$1000&lt;=$AL$7) * (LEFT($D$2:$D$1000,10)=$AJ5))),2)</f>
        <v>1.76</v>
      </c>
      <c r="AK14" s="4" cm="1">
        <f t="array" ref="AK14">ROUND(MAX(_xlfn._xlws.FILTER($M$2:$M$1000, ($A$2:$A$1000=$AJ6) * ($C$2:$C$1000=AK$8) *  ($B$2:$B$1000&gt;=$AJ$7) * ($B$2:$B$1000&lt;=$AL$7) * (LEFT($D$2:$D$1000,10)=$AJ5))),2)</f>
        <v>2.2999999999999998</v>
      </c>
      <c r="AL14" s="4" cm="1">
        <f t="array" ref="AL14">ROUND(MAX(_xlfn._xlws.FILTER($M$2:$M$1000, ($A$2:$A$1000=$AJ6) * ($C$2:$C$1000=AL$8) *  ($B$2:$B$1000&gt;=$AJ$7) * ($B$2:$B$1000&lt;=$AL$7) * (LEFT($D$2:$D$1000,10)=$AJ5))),2)</f>
        <v>1.99</v>
      </c>
    </row>
    <row r="15" spans="1:41" x14ac:dyDescent="0.25">
      <c r="A15" t="s">
        <v>12</v>
      </c>
      <c r="B15">
        <v>4</v>
      </c>
      <c r="C15" t="s">
        <v>36</v>
      </c>
      <c r="D15" t="s">
        <v>348</v>
      </c>
      <c r="E15" t="s">
        <v>349</v>
      </c>
      <c r="F15" s="1">
        <v>1.2731481481481482E-5</v>
      </c>
      <c r="G15" t="s">
        <v>16</v>
      </c>
      <c r="H15">
        <v>5</v>
      </c>
      <c r="I15">
        <v>173</v>
      </c>
      <c r="J15">
        <v>178</v>
      </c>
      <c r="L15" t="s">
        <v>17</v>
      </c>
      <c r="M15" s="3">
        <f t="shared" si="0"/>
        <v>1.0100000537931919</v>
      </c>
      <c r="O15" t="s">
        <v>663</v>
      </c>
      <c r="P15" s="4" cm="1">
        <f t="array" ref="P15">ROUND(_xlfn.STDEV.S(IF(($A:$A=$P6)*($C:$C=P$8), $M:$M)),2)</f>
        <v>0.27</v>
      </c>
      <c r="Q15" s="4" cm="1">
        <f t="array" ref="Q15">ROUND(_xlfn.STDEV.S(IF(($A:$A=$P6)*($C:$C=Q$8), $M:$M)),2)</f>
        <v>0.38</v>
      </c>
      <c r="R15" s="4" cm="1">
        <f t="array" ref="R15">ROUND(_xlfn.STDEV.S(IF(($A:$A=$P6)*($C:$C=R$8), $M:$M)),2)</f>
        <v>0.27</v>
      </c>
      <c r="T15" t="s">
        <v>663</v>
      </c>
      <c r="U15" s="4" cm="1">
        <f t="array" ref="U15">ROUND(_xlfn.STDEV.P(_xlfn._xlws.FILTER($M$2:$M$1000, ($A$2:$A$1000=$U6) * ($C$2:$C$1000=U$8) * (LEFT($D$2:$D$1000,10)=$U5))),2)</f>
        <v>0.31</v>
      </c>
      <c r="V15" s="4" cm="1">
        <f t="array" ref="V15">ROUND(_xlfn.STDEV.P(_xlfn._xlws.FILTER($M$2:$M$1000, ($A$2:$A$1000=$U6) * ($C$2:$C$1000=V$8) * (LEFT($D$2:$D$1000,10)=$U5))),2)</f>
        <v>0.4</v>
      </c>
      <c r="W15" s="4" cm="1">
        <f t="array" ref="W15">ROUND(_xlfn.STDEV.P(_xlfn._xlws.FILTER($M$2:$M$1000, ($A$2:$A$1000=$U6) * ($C$2:$C$1000=W$8) * (LEFT($D$2:$D$1000,10)=$U5))),2)</f>
        <v>0.11</v>
      </c>
      <c r="Y15" t="s">
        <v>663</v>
      </c>
      <c r="Z15" s="4" cm="1">
        <f t="array" ref="Z15">ROUND(_xlfn.STDEV.P(_xlfn._xlws.FILTER($M$2:$M$1000, ($A$2:$A$1000=$Z6) * ($C$2:$C$1000=Z$8) *  ($B$2:$B$1000&gt;=$Z$7) * ($B$2:$B$1000&lt;=$AB$7) * (LEFT($D$2:$D$1000,10)=$Z5))),2)</f>
        <v>0.34</v>
      </c>
      <c r="AA15" s="4" cm="1">
        <f t="array" ref="AA15">ROUND(_xlfn.STDEV.P(_xlfn._xlws.FILTER($M$2:$M$1000, ($A$2:$A$1000=$Z6) * ($C$2:$C$1000=AA$8) *  ($B$2:$B$1000&gt;=$Z$7) * ($B$2:$B$1000&lt;=$AB$7) * (LEFT($D$2:$D$1000,10)=$Z5))),2)</f>
        <v>0.11</v>
      </c>
      <c r="AB15" s="4" cm="1">
        <f t="array" ref="AB15">ROUND(_xlfn.STDEV.P(_xlfn._xlws.FILTER($M$2:$M$1000, ($A$2:$A$1000=$Z6) * ($C$2:$C$1000=AB$8) *  ($B$2:$B$1000&gt;=$Z$7) * ($B$2:$B$1000&lt;=$AB$7) * (LEFT($D$2:$D$1000,10)=$Z5))),2)</f>
        <v>0.11</v>
      </c>
      <c r="AD15" t="s">
        <v>663</v>
      </c>
      <c r="AE15" s="4" cm="1">
        <f t="array" ref="AE15">ROUND(_xlfn.STDEV.P(_xlfn._xlws.FILTER($M$2:$M$1000, ($A$2:$A$1000=$AE6) * ($C$2:$C$1000=AE$8) * (LEFT($D$2:$D$1000,10)=$AE5))),2)</f>
        <v>0.19</v>
      </c>
      <c r="AF15" s="4" cm="1">
        <f t="array" ref="AF15">ROUND(_xlfn.STDEV.P(_xlfn._xlws.FILTER($M$2:$M$1000, ($A$2:$A$1000=$AE6) * ($C$2:$C$1000=AF$8) * (LEFT($D$2:$D$1000,10)=$AE5))),2)</f>
        <v>0.33</v>
      </c>
      <c r="AG15" s="4" cm="1">
        <f t="array" ref="AG15">ROUND(_xlfn.STDEV.P(_xlfn._xlws.FILTER($M$2:$M$1000, ($A$2:$A$1000=$AE6) * ($C$2:$C$1000=AG$8) * (LEFT($D$2:$D$1000,10)=$AE5))),2)</f>
        <v>0.3</v>
      </c>
      <c r="AI15" t="s">
        <v>663</v>
      </c>
      <c r="AJ15" s="4" cm="1">
        <f t="array" ref="AJ15">ROUND(_xlfn.STDEV.P(_xlfn._xlws.FILTER($M$2:$M$1000, ($A$2:$A$1000=$AJ6) * ($C$2:$C$1000=AJ$8) *  ($B$2:$B$1000&gt;=$AJ$7) * ($B$2:$B$1000&lt;=$AL$7) * (LEFT($D$2:$D$1000,10)=$AJ5))),2)</f>
        <v>0.2</v>
      </c>
      <c r="AK15" s="4" cm="1">
        <f t="array" ref="AK15">ROUND(_xlfn.STDEV.P(_xlfn._xlws.FILTER($M$2:$M$1000, ($A$2:$A$1000=$AJ6) * ($C$2:$C$1000=AK$8) *  ($B$2:$B$1000&gt;=$AJ$7) * ($B$2:$B$1000&lt;=$AL$7) * (LEFT($D$2:$D$1000,10)=$AJ5))),2)</f>
        <v>0.36</v>
      </c>
      <c r="AL15" s="4" cm="1">
        <f t="array" ref="AL15">ROUND(_xlfn.STDEV.P(_xlfn._xlws.FILTER($M$2:$M$1000, ($A$2:$A$1000=$AJ6) * ($C$2:$C$1000=AL$8) *  ($B$2:$B$1000&gt;=$AJ$7) * ($B$2:$B$1000&lt;=$AL$7) * (LEFT($D$2:$D$1000,10)=$AJ5))),2)</f>
        <v>0.26</v>
      </c>
    </row>
    <row r="16" spans="1:41" x14ac:dyDescent="0.25">
      <c r="A16" t="s">
        <v>12</v>
      </c>
      <c r="B16">
        <v>5</v>
      </c>
      <c r="C16" t="s">
        <v>36</v>
      </c>
      <c r="D16" t="s">
        <v>350</v>
      </c>
      <c r="E16" t="s">
        <v>351</v>
      </c>
      <c r="F16" s="1">
        <v>1.6203703703703704E-5</v>
      </c>
      <c r="G16" t="s">
        <v>16</v>
      </c>
      <c r="H16">
        <v>5</v>
      </c>
      <c r="I16">
        <v>173</v>
      </c>
      <c r="J16">
        <v>178</v>
      </c>
      <c r="L16" t="s">
        <v>17</v>
      </c>
      <c r="M16" s="3">
        <f t="shared" si="0"/>
        <v>1.0430000256747007</v>
      </c>
      <c r="O16" t="s">
        <v>384</v>
      </c>
      <c r="P16" s="4" cm="1">
        <f t="array" ref="P16">ROUND(_xlfn.PERCENTILE.INC(IF(($A:$A=$P6)*($C:$C=P$8), $M:$M), 0.9),2)</f>
        <v>1.69</v>
      </c>
      <c r="Q16" s="4" cm="1">
        <f t="array" ref="Q16">ROUND(_xlfn.PERCENTILE.INC(IF(($A:$A=$P6)*($C:$C=Q$8), $M:$M), 0.9),2)</f>
        <v>1.97</v>
      </c>
      <c r="R16" s="4" cm="1">
        <f t="array" ref="R16">ROUND(_xlfn.PERCENTILE.INC(IF(($A:$A=$P6)*($C:$C=R$8), $M:$M), 0.9),2)</f>
        <v>1.64</v>
      </c>
      <c r="T16" t="s">
        <v>384</v>
      </c>
      <c r="U16" s="4" cm="1">
        <f t="array" ref="U16">ROUND(_xlfn.PERCENTILE.INC(_xlfn._xlws.FILTER($M$2:$M$1000, ($A$2:$A$1000=$U6) * ($C$2:$C$1000=U$8) * (LEFT($D$2:$D$1000,10)=$U5)), 0.9),2)</f>
        <v>1.45</v>
      </c>
      <c r="V16" s="4" cm="1">
        <f t="array" ref="V16">ROUND(_xlfn.PERCENTILE.INC(_xlfn._xlws.FILTER($M$2:$M$1000, ($A$2:$A$1000=$U6) * ($C$2:$C$1000=V$8) * (LEFT($D$2:$D$1000,10)=$U5)), 0.9),2)</f>
        <v>1.61</v>
      </c>
      <c r="W16" s="4" cm="1">
        <f t="array" ref="W16">ROUND(_xlfn.PERCENTILE.INC(_xlfn._xlws.FILTER($M$2:$M$1000, ($A$2:$A$1000=$U6) * ($C$2:$C$1000=W$8) * (LEFT($D$2:$D$1000,10)=$U5)), 0.9),2)</f>
        <v>1.29</v>
      </c>
      <c r="Y16" t="s">
        <v>384</v>
      </c>
      <c r="Z16" s="4" cm="1">
        <f t="array" ref="Z16">ROUND(_xlfn.PERCENTILE.INC(_xlfn._xlws.FILTER($M$2:$M$1000, ($A$2:$A$1000=$Z6) * ($C$2:$C$1000=Z$8) *  ($B$2:$B$1000&gt;=$Z$7) * ($B$2:$B$1000&lt;=$AB$7) * (LEFT($D$2:$D$1000,10)=$Z5)), 0.9),2)</f>
        <v>1.63</v>
      </c>
      <c r="AA16" s="4" cm="1">
        <f t="array" ref="AA16">ROUND(_xlfn.PERCENTILE.INC(_xlfn._xlws.FILTER($M$2:$M$1000, ($A$2:$A$1000=$Z6) * ($C$2:$C$1000=AA$8) *  ($B$2:$B$1000&gt;=$Z$7) * ($B$2:$B$1000&lt;=$AB$7) * (LEFT($D$2:$D$1000,10)=$Z5)), 0.9),2)</f>
        <v>1.34</v>
      </c>
      <c r="AB16" s="4" cm="1">
        <f t="array" ref="AB16">ROUND(_xlfn.PERCENTILE.INC(_xlfn._xlws.FILTER($M$2:$M$1000, ($A$2:$A$1000=$Z6) * ($C$2:$C$1000=AB$8) *  ($B$2:$B$1000&gt;=$Z$7) * ($B$2:$B$1000&lt;=$AB$7) * (LEFT($D$2:$D$1000,10)=$Z5)), 0.9),2)</f>
        <v>1.31</v>
      </c>
      <c r="AD16" t="s">
        <v>384</v>
      </c>
      <c r="AE16" s="4" cm="1">
        <f t="array" ref="AE16">ROUND(_xlfn.PERCENTILE.INC(_xlfn._xlws.FILTER($M$2:$M$1000, ($A$2:$A$1000=$AE6) * ($C$2:$C$1000=AE$8) * (LEFT($D$2:$D$1000,10)=$AE5)), 0.9),2)</f>
        <v>1.69</v>
      </c>
      <c r="AF16" s="4" cm="1">
        <f t="array" ref="AF16">ROUND(_xlfn.PERCENTILE.INC(_xlfn._xlws.FILTER($M$2:$M$1000, ($A$2:$A$1000=$AE6) * ($C$2:$C$1000=AF$8) * (LEFT($D$2:$D$1000,10)=$AE5)), 0.9),2)</f>
        <v>1.97</v>
      </c>
      <c r="AG16" s="4" cm="1">
        <f t="array" ref="AG16">ROUND(_xlfn.PERCENTILE.INC(_xlfn._xlws.FILTER($M$2:$M$1000, ($A$2:$A$1000=$AE6) * ($C$2:$C$1000=AG$8) * (LEFT($D$2:$D$1000,10)=$AE5)), 0.9),2)</f>
        <v>1.99</v>
      </c>
      <c r="AI16" t="s">
        <v>384</v>
      </c>
      <c r="AJ16" s="4" cm="1">
        <f t="array" ref="AJ16">ROUND(_xlfn.PERCENTILE.INC(_xlfn._xlws.FILTER($M$2:$M$1000, ($A$2:$A$1000=$AJ6) * ($C$2:$C$1000=AJ$8) *  ($B$2:$B$1000&gt;=$AJ$7) * ($B$2:$B$1000&lt;=$AL$7) * (LEFT($D$2:$D$1000,10)=$AJ5)), 0.9),2)</f>
        <v>1.71</v>
      </c>
      <c r="AK16" s="4" cm="1">
        <f t="array" ref="AK16">ROUND(_xlfn.PERCENTILE.INC(_xlfn._xlws.FILTER($M$2:$M$1000, ($A$2:$A$1000=$AJ6) * ($C$2:$C$1000=AK$8) *  ($B$2:$B$1000&gt;=$AJ$7) * ($B$2:$B$1000&lt;=$AL$7) * (LEFT($D$2:$D$1000,10)=$AJ5)), 0.9),2)</f>
        <v>2.04</v>
      </c>
      <c r="AL16" s="4" cm="1">
        <f t="array" ref="AL16">ROUND(_xlfn.PERCENTILE.INC(_xlfn._xlws.FILTER($M$2:$M$1000, ($A$2:$A$1000=$AJ6) * ($C$2:$C$1000=AL$8) *  ($B$2:$B$1000&gt;=$AJ$7) * ($B$2:$B$1000&lt;=$AL$7) * (LEFT($D$2:$D$1000,10)=$AJ5)), 0.9),2)</f>
        <v>1.72</v>
      </c>
    </row>
    <row r="17" spans="1:38" x14ac:dyDescent="0.25">
      <c r="A17" t="s">
        <v>12</v>
      </c>
      <c r="B17">
        <v>6</v>
      </c>
      <c r="C17" t="s">
        <v>36</v>
      </c>
      <c r="D17" t="s">
        <v>352</v>
      </c>
      <c r="E17" t="s">
        <v>353</v>
      </c>
      <c r="F17" s="1">
        <v>1.9675925925925925E-5</v>
      </c>
      <c r="G17" t="s">
        <v>16</v>
      </c>
      <c r="H17">
        <v>5</v>
      </c>
      <c r="I17">
        <v>173</v>
      </c>
      <c r="J17">
        <v>178</v>
      </c>
      <c r="L17" t="s">
        <v>17</v>
      </c>
      <c r="M17" s="3">
        <f t="shared" si="0"/>
        <v>1.0670003481209278</v>
      </c>
      <c r="O17" t="s">
        <v>635</v>
      </c>
      <c r="P17" s="4" cm="1">
        <f t="array" ref="P17">ROUND(_xlfn.PERCENTILE.INC(IF(($A:$A=$P6)*($C:$C=P$8), $M:$M), 0.95),2)</f>
        <v>1.79</v>
      </c>
      <c r="Q17" s="4" cm="1">
        <f t="array" ref="Q17">ROUND(_xlfn.PERCENTILE.INC(IF(($A:$A=$P6)*($C:$C=Q$8), $M:$M), 0.95),2)</f>
        <v>2.31</v>
      </c>
      <c r="R17" s="4" cm="1">
        <f t="array" ref="R17">ROUND(_xlfn.PERCENTILE.INC(IF(($A:$A=$P6)*($C:$C=R$8), $M:$M), 0.95),2)</f>
        <v>1.99</v>
      </c>
      <c r="T17" t="s">
        <v>635</v>
      </c>
      <c r="U17" s="4" cm="1">
        <f t="array" ref="U17">ROUND(_xlfn.PERCENTILE.INC(_xlfn._xlws.FILTER($M$2:$M$1000, ($A$2:$A$1000=$U6) * ($C$2:$C$1000=U$8) * (LEFT($D$2:$D$1000,10)=$U5)), 0.95),2)</f>
        <v>1.86</v>
      </c>
      <c r="V17" s="4" cm="1">
        <f t="array" ref="V17">ROUND(_xlfn.PERCENTILE.INC(_xlfn._xlws.FILTER($M$2:$M$1000, ($A$2:$A$1000=$U6) * ($C$2:$C$1000=V$8) * (LEFT($D$2:$D$1000,10)=$U5)), 0.95),2)</f>
        <v>2.0699999999999998</v>
      </c>
      <c r="W17" s="4" cm="1">
        <f t="array" ref="W17">ROUND(_xlfn.PERCENTILE.INC(_xlfn._xlws.FILTER($M$2:$M$1000, ($A$2:$A$1000=$U6) * ($C$2:$C$1000=W$8) * (LEFT($D$2:$D$1000,10)=$U5)), 0.95),2)</f>
        <v>1.39</v>
      </c>
      <c r="Y17" t="s">
        <v>635</v>
      </c>
      <c r="Z17" s="4" cm="1">
        <f t="array" ref="Z17">ROUND(_xlfn.PERCENTILE.INC(_xlfn._xlws.FILTER($M$2:$M$1000, ($A$2:$A$1000=$Z6) * ($C$2:$C$1000=Z$8) *  ($B$2:$B$1000&gt;=$Z$7) * ($B$2:$B$1000&lt;=$AB$7) * (LEFT($D$2:$D$1000,10)=$Z5)), 0.95),2)</f>
        <v>1.95</v>
      </c>
      <c r="AA17" s="4" cm="1">
        <f t="array" ref="AA17">ROUND(_xlfn.PERCENTILE.INC(_xlfn._xlws.FILTER($M$2:$M$1000, ($A$2:$A$1000=$Z6) * ($C$2:$C$1000=AA$8) *  ($B$2:$B$1000&gt;=$Z$7) * ($B$2:$B$1000&lt;=$AB$7) * (LEFT($D$2:$D$1000,10)=$Z5)), 0.95),2)</f>
        <v>1.42</v>
      </c>
      <c r="AB17" s="4" cm="1">
        <f t="array" ref="AB17">ROUND(_xlfn.PERCENTILE.INC(_xlfn._xlws.FILTER($M$2:$M$1000, ($A$2:$A$1000=$Z6) * ($C$2:$C$1000=AB$8) *  ($B$2:$B$1000&gt;=$Z$7) * ($B$2:$B$1000&lt;=$AB$7) * (LEFT($D$2:$D$1000,10)=$Z5)), 0.95),2)</f>
        <v>1.4</v>
      </c>
      <c r="AD17" t="s">
        <v>635</v>
      </c>
      <c r="AE17" s="4" cm="1">
        <f t="array" ref="AE17">ROUND(_xlfn.PERCENTILE.INC(_xlfn._xlws.FILTER($M$2:$M$1000, ($A$2:$A$1000=$AE6) * ($C$2:$C$1000=AE$8) * (LEFT($D$2:$D$1000,10)=$AE5)), 0.95),2)</f>
        <v>1.73</v>
      </c>
      <c r="AF17" s="4" cm="1">
        <f t="array" ref="AF17">ROUND(_xlfn.PERCENTILE.INC(_xlfn._xlws.FILTER($M$2:$M$1000, ($A$2:$A$1000=$AE6) * ($C$2:$C$1000=AF$8) * (LEFT($D$2:$D$1000,10)=$AE5)), 0.95),2)</f>
        <v>2.13</v>
      </c>
      <c r="AG17" s="4" cm="1">
        <f t="array" ref="AG17">ROUND(_xlfn.PERCENTILE.INC(_xlfn._xlws.FILTER($M$2:$M$1000, ($A$2:$A$1000=$AE6) * ($C$2:$C$1000=AG$8) * (LEFT($D$2:$D$1000,10)=$AE5)), 0.95),2)</f>
        <v>2.0099999999999998</v>
      </c>
      <c r="AI17" t="s">
        <v>635</v>
      </c>
      <c r="AJ17" s="4" cm="1">
        <f t="array" ref="AJ17">ROUND(_xlfn.PERCENTILE.INC(_xlfn._xlws.FILTER($M$2:$M$1000, ($A$2:$A$1000=$AJ6) * ($C$2:$C$1000=AJ$8) *  ($B$2:$B$1000&gt;=$AJ$7) * ($B$2:$B$1000&lt;=$AL$7) * (LEFT($D$2:$D$1000,10)=$AJ5)), 0.95),2)</f>
        <v>1.74</v>
      </c>
      <c r="AK17" s="4" cm="1">
        <f t="array" ref="AK17">ROUND(_xlfn.PERCENTILE.INC(_xlfn._xlws.FILTER($M$2:$M$1000, ($A$2:$A$1000=$AJ6) * ($C$2:$C$1000=AK$8) *  ($B$2:$B$1000&gt;=$AJ$7) * ($B$2:$B$1000&lt;=$AL$7) * (LEFT($D$2:$D$1000,10)=$AJ5)), 0.95),2)</f>
        <v>2.17</v>
      </c>
      <c r="AL17" s="4" cm="1">
        <f t="array" ref="AL17">ROUND(_xlfn.PERCENTILE.INC(_xlfn._xlws.FILTER($M$2:$M$1000, ($A$2:$A$1000=$AJ6) * ($C$2:$C$1000=AL$8) *  ($B$2:$B$1000&gt;=$AJ$7) * ($B$2:$B$1000&lt;=$AL$7) * (LEFT($D$2:$D$1000,10)=$AJ5)), 0.95),2)</f>
        <v>1.85</v>
      </c>
    </row>
    <row r="18" spans="1:38" x14ac:dyDescent="0.25">
      <c r="A18" t="s">
        <v>12</v>
      </c>
      <c r="B18">
        <v>7</v>
      </c>
      <c r="C18" t="s">
        <v>36</v>
      </c>
      <c r="D18" t="s">
        <v>354</v>
      </c>
      <c r="E18" t="s">
        <v>355</v>
      </c>
      <c r="F18" s="1">
        <v>1.2731481481481482E-5</v>
      </c>
      <c r="G18" t="s">
        <v>16</v>
      </c>
      <c r="H18">
        <v>5</v>
      </c>
      <c r="I18">
        <v>173</v>
      </c>
      <c r="J18">
        <v>178</v>
      </c>
      <c r="L18" t="s">
        <v>17</v>
      </c>
      <c r="M18" s="3">
        <f t="shared" si="0"/>
        <v>1.0129999369382858</v>
      </c>
      <c r="O18" t="s">
        <v>385</v>
      </c>
      <c r="P18" s="4" cm="1">
        <f t="array" ref="P18">ROUND(_xlfn.PERCENTILE.INC(IF(($A:$A=$P6)*($C:$C=P$8), $M:$M), 0.99),2)</f>
        <v>2.17</v>
      </c>
      <c r="Q18" s="4" cm="1">
        <f t="array" ref="Q18">ROUND(_xlfn.PERCENTILE.INC(IF(($A:$A=$P6)*($C:$C=Q$8), $M:$M), 0.99),2)</f>
        <v>2.4900000000000002</v>
      </c>
      <c r="R18" s="4" cm="1">
        <f t="array" ref="R18">ROUND(_xlfn.PERCENTILE.INC(IF(($A:$A=$P6)*($C:$C=R$8), $M:$M), 0.99),2)</f>
        <v>2.02</v>
      </c>
      <c r="T18" t="s">
        <v>385</v>
      </c>
      <c r="U18" s="4" cm="1">
        <f t="array" ref="U18">ROUND(_xlfn.PERCENTILE.INC(_xlfn._xlws.FILTER($M$2:$M$1000, ($A$2:$A$1000=$U6) * ($C$2:$C$1000=U$8) * (LEFT($D$2:$D$1000,10)=$U5)), 0.99),2)</f>
        <v>2.1800000000000002</v>
      </c>
      <c r="V18" s="4" cm="1">
        <f t="array" ref="V18">ROUND(_xlfn.PERCENTILE.INC(_xlfn._xlws.FILTER($M$2:$M$1000, ($A$2:$A$1000=$U6) * ($C$2:$C$1000=V$8) * (LEFT($D$2:$D$1000,10)=$U5)), 0.99),2)</f>
        <v>2.44</v>
      </c>
      <c r="W18" s="4" cm="1">
        <f t="array" ref="W18">ROUND(_xlfn.PERCENTILE.INC(_xlfn._xlws.FILTER($M$2:$M$1000, ($A$2:$A$1000=$U6) * ($C$2:$C$1000=W$8) * (LEFT($D$2:$D$1000,10)=$U5)), 0.99),2)</f>
        <v>1.47</v>
      </c>
      <c r="Y18" t="s">
        <v>385</v>
      </c>
      <c r="Z18" s="4" cm="1">
        <f t="array" ref="Z18">ROUND(_xlfn.PERCENTILE.INC(_xlfn._xlws.FILTER($M$2:$M$1000, ($A$2:$A$1000=$Z6) * ($C$2:$C$1000=Z$8) *  ($B$2:$B$1000&gt;=$Z$7) * ($B$2:$B$1000&lt;=$AB$7) * (LEFT($D$2:$D$1000,10)=$Z5)), 0.99),2)</f>
        <v>2.2000000000000002</v>
      </c>
      <c r="AA18" s="4" cm="1">
        <f t="array" ref="AA18">ROUND(_xlfn.PERCENTILE.INC(_xlfn._xlws.FILTER($M$2:$M$1000, ($A$2:$A$1000=$Z6) * ($C$2:$C$1000=AA$8) *  ($B$2:$B$1000&gt;=$Z$7) * ($B$2:$B$1000&lt;=$AB$7) * (LEFT($D$2:$D$1000,10)=$Z5)), 0.99),2)</f>
        <v>1.49</v>
      </c>
      <c r="AB18" s="4" cm="1">
        <f t="array" ref="AB18">ROUND(_xlfn.PERCENTILE.INC(_xlfn._xlws.FILTER($M$2:$M$1000, ($A$2:$A$1000=$Z6) * ($C$2:$C$1000=AB$8) *  ($B$2:$B$1000&gt;=$Z$7) * ($B$2:$B$1000&lt;=$AB$7) * (LEFT($D$2:$D$1000,10)=$Z5)), 0.99),2)</f>
        <v>1.48</v>
      </c>
      <c r="AD18" t="s">
        <v>385</v>
      </c>
      <c r="AE18" s="4" cm="1">
        <f t="array" ref="AE18">ROUND(_xlfn.PERCENTILE.INC(_xlfn._xlws.FILTER($M$2:$M$1000, ($A$2:$A$1000=$AE6) * ($C$2:$C$1000=AE$8) * (LEFT($D$2:$D$1000,10)=$AE5)), 0.99),2)</f>
        <v>1.76</v>
      </c>
      <c r="AF18" s="4" cm="1">
        <f t="array" ref="AF18">ROUND(_xlfn.PERCENTILE.INC(_xlfn._xlws.FILTER($M$2:$M$1000, ($A$2:$A$1000=$AE6) * ($C$2:$C$1000=AF$8) * (LEFT($D$2:$D$1000,10)=$AE5)), 0.99),2)</f>
        <v>2.2599999999999998</v>
      </c>
      <c r="AG18" s="4" cm="1">
        <f t="array" ref="AG18">ROUND(_xlfn.PERCENTILE.INC(_xlfn._xlws.FILTER($M$2:$M$1000, ($A$2:$A$1000=$AE6) * ($C$2:$C$1000=AG$8) * (LEFT($D$2:$D$1000,10)=$AE5)), 0.99),2)</f>
        <v>2.02</v>
      </c>
      <c r="AI18" t="s">
        <v>385</v>
      </c>
      <c r="AJ18" s="4" cm="1">
        <f t="array" ref="AJ18">ROUND(_xlfn.PERCENTILE.INC(_xlfn._xlws.FILTER($M$2:$M$1000, ($A$2:$A$1000=$AJ6) * ($C$2:$C$1000=AJ$8) *  ($B$2:$B$1000&gt;=$AJ$7) * ($B$2:$B$1000&lt;=$AL$7) * (LEFT($D$2:$D$1000,10)=$AJ5)), 0.99),2)</f>
        <v>1.76</v>
      </c>
      <c r="AK18" s="4" cm="1">
        <f t="array" ref="AK18">ROUND(_xlfn.PERCENTILE.INC(_xlfn._xlws.FILTER($M$2:$M$1000, ($A$2:$A$1000=$AJ6) * ($C$2:$C$1000=AK$8) *  ($B$2:$B$1000&gt;=$AJ$7) * ($B$2:$B$1000&lt;=$AL$7) * (LEFT($D$2:$D$1000,10)=$AJ5)), 0.99),2)</f>
        <v>2.27</v>
      </c>
      <c r="AL18" s="4" cm="1">
        <f t="array" ref="AL18">ROUND(_xlfn.PERCENTILE.INC(_xlfn._xlws.FILTER($M$2:$M$1000, ($A$2:$A$1000=$AJ6) * ($C$2:$C$1000=AL$8) *  ($B$2:$B$1000&gt;=$AJ$7) * ($B$2:$B$1000&lt;=$AL$7) * (LEFT($D$2:$D$1000,10)=$AJ5)), 0.99),2)</f>
        <v>1.96</v>
      </c>
    </row>
    <row r="19" spans="1:38" x14ac:dyDescent="0.25">
      <c r="A19" t="s">
        <v>12</v>
      </c>
      <c r="B19">
        <v>8</v>
      </c>
      <c r="C19" t="s">
        <v>36</v>
      </c>
      <c r="D19" t="s">
        <v>356</v>
      </c>
      <c r="E19" t="s">
        <v>357</v>
      </c>
      <c r="F19" s="1">
        <v>1.3888888888888888E-5</v>
      </c>
      <c r="G19" t="s">
        <v>16</v>
      </c>
      <c r="H19">
        <v>5</v>
      </c>
      <c r="I19">
        <v>173</v>
      </c>
      <c r="J19">
        <v>178</v>
      </c>
      <c r="L19" t="s">
        <v>17</v>
      </c>
      <c r="M19" s="3">
        <f t="shared" si="0"/>
        <v>1.0210000444203615</v>
      </c>
      <c r="O19" t="s">
        <v>386</v>
      </c>
      <c r="P19" s="4">
        <f>P12-P11</f>
        <v>0.14999999999999991</v>
      </c>
      <c r="Q19" s="4">
        <f t="shared" ref="Q19:R19" si="1">Q12-Q11</f>
        <v>0.20999999999999996</v>
      </c>
      <c r="R19" s="4">
        <f t="shared" si="1"/>
        <v>0.31000000000000005</v>
      </c>
      <c r="T19" t="s">
        <v>386</v>
      </c>
      <c r="U19" s="4">
        <f>U12-U11</f>
        <v>6.0000000000000053E-2</v>
      </c>
      <c r="V19" s="4">
        <f t="shared" ref="V19:W19" si="2">V12-V11</f>
        <v>9.000000000000008E-2</v>
      </c>
      <c r="W19" s="4">
        <f t="shared" si="2"/>
        <v>0.10000000000000009</v>
      </c>
      <c r="Y19" t="s">
        <v>386</v>
      </c>
      <c r="Z19" s="4">
        <f>Z12-Z11</f>
        <v>6.0000000000000053E-2</v>
      </c>
      <c r="AA19" s="4">
        <f t="shared" ref="AA19:AB19" si="3">AA12-AA11</f>
        <v>8.0000000000000071E-2</v>
      </c>
      <c r="AB19" s="4">
        <f t="shared" si="3"/>
        <v>0.10000000000000009</v>
      </c>
      <c r="AD19" t="s">
        <v>386</v>
      </c>
      <c r="AE19" s="4">
        <f>AE12-AE11</f>
        <v>0.35999999999999988</v>
      </c>
      <c r="AF19" s="4">
        <f t="shared" ref="AF19:AG19" si="4">AF12-AF11</f>
        <v>0.15999999999999992</v>
      </c>
      <c r="AG19" s="4">
        <f t="shared" si="4"/>
        <v>0.31000000000000005</v>
      </c>
      <c r="AI19" t="s">
        <v>386</v>
      </c>
      <c r="AJ19" s="4">
        <f>AJ12-AJ11</f>
        <v>0.37999999999999989</v>
      </c>
      <c r="AK19" s="4">
        <f t="shared" ref="AK19:AL19" si="5">AK12-AK11</f>
        <v>0.30000000000000004</v>
      </c>
      <c r="AL19" s="4">
        <f t="shared" si="5"/>
        <v>0.26</v>
      </c>
    </row>
    <row r="20" spans="1:38" x14ac:dyDescent="0.25">
      <c r="A20" t="s">
        <v>12</v>
      </c>
      <c r="B20">
        <v>9</v>
      </c>
      <c r="C20" t="s">
        <v>36</v>
      </c>
      <c r="D20" t="s">
        <v>358</v>
      </c>
      <c r="E20" t="s">
        <v>359</v>
      </c>
      <c r="F20" s="1">
        <v>4.398148148148148E-5</v>
      </c>
      <c r="G20" t="s">
        <v>16</v>
      </c>
      <c r="H20">
        <v>5</v>
      </c>
      <c r="I20">
        <v>173</v>
      </c>
      <c r="J20">
        <v>178</v>
      </c>
      <c r="L20" t="s">
        <v>17</v>
      </c>
      <c r="M20" s="3">
        <f t="shared" si="0"/>
        <v>3.0750002944841981</v>
      </c>
      <c r="O20" t="s">
        <v>387</v>
      </c>
      <c r="P20" s="16">
        <f>P17/P19</f>
        <v>11.933333333333341</v>
      </c>
      <c r="Q20" s="16">
        <f t="shared" ref="Q20:R20" si="6">Q17/Q19</f>
        <v>11.000000000000002</v>
      </c>
      <c r="R20" s="16">
        <f t="shared" si="6"/>
        <v>6.4193548387096762</v>
      </c>
      <c r="T20" t="s">
        <v>387</v>
      </c>
      <c r="U20" s="6">
        <f>U17/U19</f>
        <v>30.999999999999975</v>
      </c>
      <c r="V20" s="6">
        <f t="shared" ref="V20:W20" si="7">V17/V19</f>
        <v>22.999999999999979</v>
      </c>
      <c r="W20" s="6">
        <f t="shared" si="7"/>
        <v>13.899999999999986</v>
      </c>
      <c r="Y20" t="s">
        <v>387</v>
      </c>
      <c r="Z20" s="6">
        <f>Z17/Z19</f>
        <v>32.499999999999972</v>
      </c>
      <c r="AA20" s="6">
        <f t="shared" ref="AA20:AB20" si="8">AA17/AA19</f>
        <v>17.749999999999982</v>
      </c>
      <c r="AB20" s="6">
        <f t="shared" si="8"/>
        <v>13.999999999999986</v>
      </c>
      <c r="AD20" t="s">
        <v>387</v>
      </c>
      <c r="AE20" s="6">
        <f>AE17/AE19</f>
        <v>4.8055555555555571</v>
      </c>
      <c r="AF20" s="6">
        <f t="shared" ref="AF20:AG20" si="9">AF17/AF19</f>
        <v>13.312500000000005</v>
      </c>
      <c r="AG20" s="6">
        <f t="shared" si="9"/>
        <v>6.4838709677419333</v>
      </c>
      <c r="AI20" t="s">
        <v>387</v>
      </c>
      <c r="AJ20" s="6">
        <f>AJ17/AJ19</f>
        <v>4.578947368421054</v>
      </c>
      <c r="AK20" s="6">
        <f t="shared" ref="AK20:AL20" si="10">AK17/AK19</f>
        <v>7.2333333333333316</v>
      </c>
      <c r="AL20" s="6">
        <f t="shared" si="10"/>
        <v>7.1153846153846159</v>
      </c>
    </row>
    <row r="21" spans="1:38" x14ac:dyDescent="0.25">
      <c r="A21" t="s">
        <v>12</v>
      </c>
      <c r="B21">
        <v>10</v>
      </c>
      <c r="C21" t="s">
        <v>36</v>
      </c>
      <c r="D21" t="s">
        <v>360</v>
      </c>
      <c r="E21" t="s">
        <v>361</v>
      </c>
      <c r="F21" s="1">
        <v>1.8518518518518518E-5</v>
      </c>
      <c r="G21" t="s">
        <v>16</v>
      </c>
      <c r="H21">
        <v>5</v>
      </c>
      <c r="I21">
        <v>173</v>
      </c>
      <c r="J21">
        <v>178</v>
      </c>
      <c r="L21" t="s">
        <v>17</v>
      </c>
      <c r="M21" s="3">
        <f t="shared" si="0"/>
        <v>1.0060000000521541</v>
      </c>
      <c r="O21" t="s">
        <v>636</v>
      </c>
      <c r="P21" s="7" t="str">
        <f>IF(P20&lt;20, "✅ SAFE",
   IF(AND(P20&gt;=20, P20&lt;30),
      IF(P17&lt;$R$28, "🟡 MODERATE", "🔴 SEVERE"),
      IF(AND(P20&gt;=30, P20&lt;=50), "🔴 SEVERE",
         IF(P20&gt;50, "🚨 CRITICAL", "ERROR"))))</f>
        <v>✅ SAFE</v>
      </c>
      <c r="Q21" s="7" t="str">
        <f t="shared" ref="Q21:R21" si="11">IF(Q20&lt;20, "✅ SAFE",
   IF(AND(Q20&gt;=20, Q20&lt;30),
      IF(Q17&lt;$R$28, "🟡 MODERATE", "🔴 SEVERE"),
      IF(AND(Q20&gt;=30, Q20&lt;=50), "🔴 SEVERE",
         IF(Q20&gt;50, "🚨 CRITICAL", "ERROR"))))</f>
        <v>✅ SAFE</v>
      </c>
      <c r="R21" s="7" t="str">
        <f t="shared" si="11"/>
        <v>✅ SAFE</v>
      </c>
      <c r="T21" t="s">
        <v>636</v>
      </c>
      <c r="U21" s="7" t="str">
        <f>IF(U20&lt;20, "✅ SAFE",
   IF(AND(U20&gt;=20, U20&lt;30),
      IF(U17&lt;$W$28, "🟡 MODERATE", "🔴 SEVERE"),
      IF(AND(U20&gt;=30, U20&lt;=50), "🔴 SEVERE",
         IF(U20&gt;50, "🚨 CRITICAL", "ERROR"))))</f>
        <v>🔴 SEVERE</v>
      </c>
      <c r="V21" s="7" t="str">
        <f t="shared" ref="V21:W21" si="12">IF(V20&lt;20, "✅ SAFE",
   IF(AND(V20&gt;=20, V20&lt;30),
      IF(V17&lt;$W$28, "🟡 MODERATE", "🔴 SEVERE"),
      IF(AND(V20&gt;=30, V20&lt;=50), "🔴 SEVERE",
         IF(V20&gt;50, "🚨 CRITICAL", "ERROR"))))</f>
        <v>🟡 MODERATE</v>
      </c>
      <c r="W21" s="7" t="str">
        <f t="shared" si="12"/>
        <v>✅ SAFE</v>
      </c>
      <c r="Y21" t="s">
        <v>636</v>
      </c>
      <c r="Z21" s="7" t="str">
        <f>IF(Z20&lt;20, "✅ SAFE",
   IF(AND(Z20&gt;=20, Z20&lt;30),
      IF(Z17&lt;$AB$28, "🟡 MODERATE", "🔴 SEVERE"),
      IF(AND(Z20&gt;=30, Z20&lt;=50), "🔴 SEVERE",
         IF(Z20&gt;50, "🚨 CRITICAL", "ERROR"))))</f>
        <v>🔴 SEVERE</v>
      </c>
      <c r="AA21" s="7" t="str">
        <f t="shared" ref="AA21:AB21" si="13">IF(AA20&lt;20, "✅ SAFE",
   IF(AND(AA20&gt;=20, AA20&lt;30),
      IF(AA17&lt;$AB$28, "🟡 MODERATE", "🔴 SEVERE"),
      IF(AND(AA20&gt;=30, AA20&lt;=50), "🔴 SEVERE",
         IF(AA20&gt;50, "🚨 CRITICAL", "ERROR"))))</f>
        <v>✅ SAFE</v>
      </c>
      <c r="AB21" s="7" t="str">
        <f t="shared" si="13"/>
        <v>✅ SAFE</v>
      </c>
      <c r="AD21" t="s">
        <v>636</v>
      </c>
      <c r="AE21" s="7" t="str">
        <f>IF(AE20&lt;20, "✅ SAFE",
   IF(AND(AE20&gt;=20, AE20&lt;30),
      IF(AE17&lt;$AG$28, "🟡 MODERATE", "🔴 SEVERE"),
      IF(AND(AE20&gt;=30, AE20&lt;=50), "🔴 SEVERE",
         IF(AE20&gt;50, "🚨 CRITICAL", "ERROR"))))</f>
        <v>✅ SAFE</v>
      </c>
      <c r="AF21" s="7" t="str">
        <f t="shared" ref="AF21:AG21" si="14">IF(AF20&lt;20, "✅ SAFE",
   IF(AND(AF20&gt;=20, AF20&lt;30),
      IF(AF17&lt;$AG$28, "🟡 MODERATE", "🔴 SEVERE"),
      IF(AND(AF20&gt;=30, AF20&lt;=50), "🔴 SEVERE",
         IF(AF20&gt;50, "🚨 CRITICAL", "ERROR"))))</f>
        <v>✅ SAFE</v>
      </c>
      <c r="AG21" s="7" t="str">
        <f t="shared" si="14"/>
        <v>✅ SAFE</v>
      </c>
      <c r="AI21" t="s">
        <v>636</v>
      </c>
      <c r="AJ21" s="7" t="str">
        <f>IF(AJ20&lt;20, "✅ SAFE",
   IF(AND(AJ20&gt;=20, AJ20&lt;30),
      IF(AJ17&lt;$AL$28, "🟡 MODERATE", "🔴 SEVERE"),
      IF(AND(AJ20&gt;=30, AJ20&lt;=50), "🔴 SEVERE",
         IF(AJ20&gt;50, "🚨 CRITICAL", "ERROR"))))</f>
        <v>✅ SAFE</v>
      </c>
      <c r="AK21" s="7" t="str">
        <f t="shared" ref="AK21:AL21" si="15">IF(AK20&lt;20, "✅ SAFE",
   IF(AND(AK20&gt;=20, AK20&lt;30),
      IF(AK17&lt;$AL$28, "🟡 MODERATE", "🔴 SEVERE"),
      IF(AND(AK20&gt;=30, AK20&lt;=50), "🔴 SEVERE",
         IF(AK20&gt;50, "🚨 CRITICAL", "ERROR"))))</f>
        <v>✅ SAFE</v>
      </c>
      <c r="AL21" s="7" t="str">
        <f t="shared" si="15"/>
        <v>✅ SAFE</v>
      </c>
    </row>
    <row r="22" spans="1:38" x14ac:dyDescent="0.25">
      <c r="A22" t="s">
        <v>12</v>
      </c>
      <c r="B22">
        <v>1</v>
      </c>
      <c r="C22" t="s">
        <v>57</v>
      </c>
      <c r="D22" t="s">
        <v>362</v>
      </c>
      <c r="E22" t="s">
        <v>363</v>
      </c>
      <c r="F22" s="1">
        <v>1.6203703703703704E-5</v>
      </c>
      <c r="G22" t="s">
        <v>16</v>
      </c>
      <c r="H22">
        <v>5</v>
      </c>
      <c r="I22">
        <v>108</v>
      </c>
      <c r="J22">
        <v>113</v>
      </c>
      <c r="L22" t="s">
        <v>17</v>
      </c>
      <c r="M22" s="3">
        <f t="shared" si="0"/>
        <v>1.039999513886869</v>
      </c>
      <c r="O22" t="s">
        <v>388</v>
      </c>
      <c r="P22" s="4">
        <f>ROUND(_xlfn.MAXIFS($M:$M, $A:$A, $P6, $C:$C, P$8) - _xlfn.MINIFS($M:$M, $A:$A, $P6, $C:$C, P$8),2)</f>
        <v>1.1499999999999999</v>
      </c>
      <c r="Q22" s="4">
        <f>ROUND(_xlfn.MAXIFS($M:$M, $A:$A, $P6, $C:$C, Q$8) - _xlfn.MINIFS($M:$M, $A:$A, $P6, $C:$C, Q$8),2)</f>
        <v>1.43</v>
      </c>
      <c r="R22" s="4">
        <f>ROUND(_xlfn.MAXIFS($M:$M, $A:$A, $P6, $C:$C, R$8) - _xlfn.MINIFS($M:$M, $A:$A, $P6, $C:$C, R$8),2)</f>
        <v>0.93</v>
      </c>
      <c r="T22" t="s">
        <v>388</v>
      </c>
      <c r="U22" s="4" cm="1">
        <f t="array" ref="U22">ROUND(MAX(_xlfn._xlws.FILTER($M$2:$M$1000, ($A$2:$A$1000=$U6) * ($C$2:$C$1000=U$8) * (LEFT($D$2:$D$1000,10)=$U5))) - MIN(_xlfn._xlws.FILTER($M$2:$M$1000, ($A$2:$A$1000=$U6) * ($C$2:$C$1000=U$8) * (LEFT($D$2:$D$1000,10)=$U5))),2)</f>
        <v>1.1499999999999999</v>
      </c>
      <c r="V22" s="4" cm="1">
        <f t="array" ref="V22">MAX(_xlfn._xlws.FILTER($M$2:$M$1000, ($A$2:$A$1000=$U6) * ($C$2:$C$1000=V$8) * (LEFT($D$2:$D$1000,10)=$U5))) - MIN(_xlfn._xlws.FILTER($M$2:$M$1000, ($A$2:$A$1000=$U6) * ($C$2:$C$1000=V$8) * (LEFT($D$2:$D$1000,10)=$U5)))</f>
        <v>1.4310002094134688</v>
      </c>
      <c r="W22" s="4" cm="1">
        <f t="array" ref="W22">MAX(_xlfn._xlws.FILTER($M$2:$M$1000, ($A$2:$A$1000=$U6) * ($C$2:$C$1000=W$8) * (LEFT($D$2:$D$1000,10)=$U5))) - MIN(_xlfn._xlws.FILTER($M$2:$M$1000, ($A$2:$A$1000=$U6) * ($C$2:$C$1000=W$8) * (LEFT($D$2:$D$1000,10)=$U5)))</f>
        <v>0.394999491982162</v>
      </c>
      <c r="Y22" t="s">
        <v>388</v>
      </c>
      <c r="Z22" s="4" cm="1">
        <f t="array" ref="Z22">ROUND(MAX(_xlfn._xlws.FILTER($M$2:$M$1000, ($A$2:$A$1000=$Z6) * ($C$2:$C$1000=Z$8) *  ($B$2:$B$1000&gt;=$Z$7) * ($B$2:$B$1000&lt;=$AB$7) * (LEFT($D$2:$D$1000,10)=$Z5))) - MIN(_xlfn._xlws.FILTER($M$2:$M$1000, ($A$2:$A$1000=$Z6) * ($C$2:$C$1000=Z$8) *  ($B$2:$B$1000&gt;=$Z$7) * ($B$2:$B$1000&lt;=$AB$7) * (LEFT($D$2:$D$1000,10)=$Z5))),2)</f>
        <v>1.1499999999999999</v>
      </c>
      <c r="AA22" s="4" cm="1">
        <f t="array" ref="AA22">ROUND(MAX(_xlfn._xlws.FILTER($M$2:$M$1000, ($A$2:$A$1000=$Z6) * ($C$2:$C$1000=AA$8) *  ($B$2:$B$1000&gt;=$Z$7) * ($B$2:$B$1000&lt;=$AB$7) * (LEFT($D$2:$D$1000,10)=$Z5))) - MIN(_xlfn._xlws.FILTER($M$2:$M$1000, ($A$2:$A$1000=$Z6) * ($C$2:$C$1000=AA$8) *  ($B$2:$B$1000&gt;=$Z$7) * ($B$2:$B$1000&lt;=$AB$7) * (LEFT($D$2:$D$1000,10)=$Z5))),2)</f>
        <v>0.4</v>
      </c>
      <c r="AB22" s="4" cm="1">
        <f t="array" ref="AB22">ROUND(MAX(_xlfn._xlws.FILTER($M$2:$M$1000, ($A$2:$A$1000=$Z6) * ($C$2:$C$1000=AB$8) *  ($B$2:$B$1000&gt;=$Z$7) * ($B$2:$B$1000&lt;=$AB$7) * (LEFT($D$2:$D$1000,10)=$Z5))) - MIN(_xlfn._xlws.FILTER($M$2:$M$1000, ($A$2:$A$1000=$Z6) * ($C$2:$C$1000=AB$8) *  ($B$2:$B$1000&gt;=$Z$7) * ($B$2:$B$1000&lt;=$AB$7) * (LEFT($D$2:$D$1000,10)=$Z5))),2)</f>
        <v>0.37</v>
      </c>
      <c r="AD22" t="s">
        <v>388</v>
      </c>
      <c r="AE22" s="4" cm="1">
        <f t="array" ref="AE22">ROUND(MAX(_xlfn._xlws.FILTER($M$2:$M$1000, ($A$2:$A$1000=$AE6) * ($C$2:$C$1000=AE$8) * (LEFT($D$2:$D$1000,10)=$AE5))) - MIN(_xlfn._xlws.FILTER($M$2:$M$1000, ($A$2:$A$1000=$AE6) * ($C$2:$C$1000=AE$8) * (LEFT($D$2:$D$1000,10)=$AE5))),2)</f>
        <v>0.52</v>
      </c>
      <c r="AF22" s="4" cm="1">
        <f t="array" ref="AF22">MAX(_xlfn._xlws.FILTER($M$2:$M$1000, ($A$2:$A$1000=$AE6) * ($C$2:$C$1000=AF$8) * (LEFT($D$2:$D$1000,10)=$AE5))) - MIN(_xlfn._xlws.FILTER($M$2:$M$1000, ($A$2:$A$1000=$AE6) * ($C$2:$C$1000=AF$8) * (LEFT($D$2:$D$1000,10)=$AE5)))</f>
        <v>1.0899998713284731</v>
      </c>
      <c r="AG22" s="4" cm="1">
        <f t="array" ref="AG22">MAX(_xlfn._xlws.FILTER($M$2:$M$1000, ($A$2:$A$1000=$AE6) * ($C$2:$C$1000=AG$8) * (LEFT($D$2:$D$1000,10)=$AE5))) - MIN(_xlfn._xlws.FILTER($M$2:$M$1000, ($A$2:$A$1000=$AE6) * ($C$2:$C$1000=AG$8) * (LEFT($D$2:$D$1000,10)=$AE5)))</f>
        <v>0.91300047934055328</v>
      </c>
      <c r="AI22" t="s">
        <v>388</v>
      </c>
      <c r="AJ22" s="4" cm="1">
        <f t="array" ref="AJ22">ROUND(MAX(_xlfn._xlws.FILTER($M$2:$M$1000, ($A$2:$A$1000=$AJ6) * ($C$2:$C$1000=AJ$8) *  ($B$2:$B$1000&gt;=$AJ$7) * ($B$2:$B$1000&lt;=$AL$7) * (LEFT($D$2:$D$1000,10)=$AJ5))) - MIN(_xlfn._xlws.FILTER($M$2:$M$1000, ($A$2:$A$1000=$AJ6) * ($C$2:$C$1000=AJ$8) *  ($B$2:$B$1000&gt;=$AJ$7) * ($B$2:$B$1000&lt;=$AL$7) * (LEFT($D$2:$D$1000,10)=$AJ5))),2)</f>
        <v>0.52</v>
      </c>
      <c r="AK22" s="4" cm="1">
        <f t="array" ref="AK22">ROUND(MAX(_xlfn._xlws.FILTER($M$2:$M$1000, ($A$2:$A$1000=$AJ6) * ($C$2:$C$1000=AK$8) *  ($B$2:$B$1000&gt;=$AJ$7) * ($B$2:$B$1000&lt;=$AL$7) * (LEFT($D$2:$D$1000,10)=$AJ5))) - MIN(_xlfn._xlws.FILTER($M$2:$M$1000, ($A$2:$A$1000=$AJ6) * ($C$2:$C$1000=AK$8) *  ($B$2:$B$1000&gt;=$AJ$7) * ($B$2:$B$1000&lt;=$AL$7) * (LEFT($D$2:$D$1000,10)=$AJ5))),2)</f>
        <v>1.0900000000000001</v>
      </c>
      <c r="AL22" s="4" cm="1">
        <f t="array" ref="AL22">ROUND(MAX(_xlfn._xlws.FILTER($M$2:$M$1000, ($A$2:$A$1000=$AJ6) * ($C$2:$C$1000=AL$8) *  ($B$2:$B$1000&gt;=$AJ$7) * ($B$2:$B$1000&lt;=$AL$7) * (LEFT($D$2:$D$1000,10)=$AJ5))) - MIN(_xlfn._xlws.FILTER($M$2:$M$1000, ($A$2:$A$1000=$AJ6) * ($C$2:$C$1000=AL$8) *  ($B$2:$B$1000&gt;=$AJ$7) * ($B$2:$B$1000&lt;=$AL$7) * (LEFT($D$2:$D$1000,10)=$AJ5))),2)</f>
        <v>0.88</v>
      </c>
    </row>
    <row r="23" spans="1:38" x14ac:dyDescent="0.25">
      <c r="A23" t="s">
        <v>12</v>
      </c>
      <c r="B23">
        <v>2</v>
      </c>
      <c r="C23" t="s">
        <v>57</v>
      </c>
      <c r="D23" t="s">
        <v>364</v>
      </c>
      <c r="E23" t="s">
        <v>365</v>
      </c>
      <c r="F23" s="1">
        <v>1.3888888888888888E-5</v>
      </c>
      <c r="G23" t="s">
        <v>16</v>
      </c>
      <c r="H23">
        <v>5</v>
      </c>
      <c r="I23">
        <v>108</v>
      </c>
      <c r="J23">
        <v>113</v>
      </c>
      <c r="L23" t="s">
        <v>17</v>
      </c>
      <c r="M23" s="3">
        <f t="shared" si="0"/>
        <v>1.0149996494874358</v>
      </c>
      <c r="O23" t="s">
        <v>389</v>
      </c>
      <c r="P23" s="17">
        <f>ROUND(P15/P9,2)</f>
        <v>0.19</v>
      </c>
      <c r="Q23" s="17">
        <f>ROUND(Q15/Q9,2)</f>
        <v>0.27</v>
      </c>
      <c r="R23" s="17">
        <f>ROUND(R15/R9,2)</f>
        <v>0.2</v>
      </c>
      <c r="T23" t="s">
        <v>389</v>
      </c>
      <c r="U23" s="5">
        <f>U15/U9</f>
        <v>0.2296296296296296</v>
      </c>
      <c r="V23" s="5">
        <f t="shared" ref="V23:W23" si="16">V15/V9</f>
        <v>0.29411764705882354</v>
      </c>
      <c r="W23" s="5">
        <f t="shared" si="16"/>
        <v>9.0909090909090912E-2</v>
      </c>
      <c r="Y23" t="s">
        <v>389</v>
      </c>
      <c r="Z23" s="5">
        <f>Z15/Z9</f>
        <v>0.24460431654676262</v>
      </c>
      <c r="AA23" s="5">
        <f>AA15/AA9</f>
        <v>8.7999999999999995E-2</v>
      </c>
      <c r="AB23" s="5">
        <f t="shared" ref="AB23" si="17">AB15/AB9</f>
        <v>9.0909090909090912E-2</v>
      </c>
      <c r="AD23" t="s">
        <v>389</v>
      </c>
      <c r="AE23" s="5">
        <f>AE15/AE9</f>
        <v>0.1310344827586207</v>
      </c>
      <c r="AF23" s="5">
        <f t="shared" ref="AF23:AG23" si="18">AF15/AF9</f>
        <v>0.22147651006711411</v>
      </c>
      <c r="AG23" s="5">
        <f t="shared" si="18"/>
        <v>0.20270270270270269</v>
      </c>
      <c r="AI23" t="s">
        <v>389</v>
      </c>
      <c r="AJ23" s="5">
        <f>AJ15/AJ9</f>
        <v>0.13513513513513514</v>
      </c>
      <c r="AK23" s="5">
        <f t="shared" ref="AK23:AL23" si="19">AK15/AK9</f>
        <v>0.23684210526315788</v>
      </c>
      <c r="AL23" s="5">
        <f t="shared" si="19"/>
        <v>0.18055555555555558</v>
      </c>
    </row>
    <row r="24" spans="1:38" ht="15.75" thickBot="1" x14ac:dyDescent="0.3">
      <c r="A24" t="s">
        <v>12</v>
      </c>
      <c r="B24">
        <v>3</v>
      </c>
      <c r="C24" t="s">
        <v>57</v>
      </c>
      <c r="D24" t="s">
        <v>366</v>
      </c>
      <c r="E24" t="s">
        <v>367</v>
      </c>
      <c r="F24" s="1">
        <v>1.6203703703703704E-5</v>
      </c>
      <c r="G24" t="s">
        <v>16</v>
      </c>
      <c r="H24">
        <v>5</v>
      </c>
      <c r="I24">
        <v>108</v>
      </c>
      <c r="J24">
        <v>113</v>
      </c>
      <c r="L24" t="s">
        <v>17</v>
      </c>
      <c r="M24" s="3">
        <f t="shared" si="0"/>
        <v>1.0420004837214947</v>
      </c>
      <c r="T24" t="s">
        <v>662</v>
      </c>
      <c r="U24" s="7" t="str">
        <f>IF(U20&lt;20, "✅",
   IF(AND(U20&gt;=20, U20&lt;30),
      IF(U17&lt;$W$28, "🟡", "🔴"),
      IF(AND(U20&gt;=30, U20&lt;=50), "🔴",
         IF(U20&gt;50, "🚨", ""))))</f>
        <v>🔴</v>
      </c>
      <c r="V24" s="7" t="str">
        <f t="shared" ref="V24:W24" si="20">IF(V20&lt;20, "✅",
   IF(AND(V20&gt;=20, V20&lt;30),
      IF(V17&lt;$W$28, "🟡", "🔴"),
      IF(AND(V20&gt;=30, V20&lt;=50), "🔴",
         IF(V20&gt;50, "🚨", ""))))</f>
        <v>🟡</v>
      </c>
      <c r="W24" s="7" t="str">
        <f t="shared" si="20"/>
        <v>✅</v>
      </c>
      <c r="Y24" t="s">
        <v>662</v>
      </c>
      <c r="Z24" s="7" t="str">
        <f>IF(Z20&lt;20, "✅",
   IF(AND(Z20&gt;=20, Z20&lt;30),
      IF(Z17&lt;$AB$28, "🟡", "🔴"),
      IF(AND(Z20&gt;=30, Z20&lt;=50), "🔴",
         IF(Z20&gt;50, "🚨", ""))))</f>
        <v>🔴</v>
      </c>
      <c r="AA24" s="7" t="str">
        <f t="shared" ref="AA24:AB24" si="21">IF(AA20&lt;20, "✅",
   IF(AND(AA20&gt;=20, AA20&lt;30),
      IF(AA17&lt;$AB$28, "🟡", "🔴"),
      IF(AND(AA20&gt;=30, AA20&lt;=50), "🔴",
         IF(AA20&gt;50, "🚨", ""))))</f>
        <v>✅</v>
      </c>
      <c r="AB24" s="7" t="str">
        <f t="shared" si="21"/>
        <v>✅</v>
      </c>
      <c r="AD24" t="s">
        <v>662</v>
      </c>
      <c r="AE24" s="7" t="str">
        <f>IF(AE20&lt;20, "✅",
   IF(AND(AE20&gt;=20, AE20&lt;30),
      IF(AE17&lt;$AG$28, "🟡", "🔴"),
      IF(AND(AE20&gt;=30, AE20&lt;=50), "🔴",
         IF(AE20&gt;50, "🚨", ""))))</f>
        <v>✅</v>
      </c>
      <c r="AF24" s="7" t="str">
        <f t="shared" ref="AF24:AG24" si="22">IF(AF20&lt;20, "✅",
   IF(AND(AF20&gt;=20, AF20&lt;30),
      IF(AF17&lt;$AG$28, "🟡", "🔴"),
      IF(AND(AF20&gt;=30, AF20&lt;=50), "🔴",
         IF(AF20&gt;50, "🚨", ""))))</f>
        <v>✅</v>
      </c>
      <c r="AG24" s="7" t="str">
        <f t="shared" si="22"/>
        <v>✅</v>
      </c>
      <c r="AI24" t="s">
        <v>662</v>
      </c>
      <c r="AJ24" s="7" t="str">
        <f>IF(AJ20&lt;20, "✅",
   IF(AND(AJ20&gt;=20, AJ20&lt;30),
      IF(AJ17&lt;$AL$28, "🟡", "🔴"),
      IF(AND(AJ20&gt;=30, AJ20&lt;=50), "🔴",
         IF(AJ20&gt;50, "🚨", ""))))</f>
        <v>✅</v>
      </c>
      <c r="AK24" s="7" t="str">
        <f t="shared" ref="AK24:AL24" si="23">IF(AK20&lt;20, "✅",
   IF(AND(AK20&gt;=20, AK20&lt;30),
      IF(AK17&lt;$AL$28, "🟡", "🔴"),
      IF(AND(AK20&gt;=30, AK20&lt;=50), "🔴",
         IF(AK20&gt;50, "🚨", ""))))</f>
        <v>✅</v>
      </c>
      <c r="AL24" s="7" t="str">
        <f t="shared" si="23"/>
        <v>✅</v>
      </c>
    </row>
    <row r="25" spans="1:38" ht="15.75" customHeight="1" thickBot="1" x14ac:dyDescent="0.3">
      <c r="A25" t="s">
        <v>12</v>
      </c>
      <c r="B25">
        <v>4</v>
      </c>
      <c r="C25" t="s">
        <v>57</v>
      </c>
      <c r="D25" t="s">
        <v>368</v>
      </c>
      <c r="E25" t="s">
        <v>369</v>
      </c>
      <c r="F25" s="1">
        <v>1.3888888888888888E-5</v>
      </c>
      <c r="G25" t="s">
        <v>16</v>
      </c>
      <c r="H25">
        <v>5</v>
      </c>
      <c r="I25">
        <v>108</v>
      </c>
      <c r="J25">
        <v>113</v>
      </c>
      <c r="L25" t="s">
        <v>17</v>
      </c>
      <c r="M25" s="3">
        <f t="shared" si="0"/>
        <v>1.0159998200833797</v>
      </c>
      <c r="O25" s="36" t="s">
        <v>651</v>
      </c>
      <c r="P25" s="37"/>
      <c r="Q25" s="37"/>
      <c r="R25" s="38"/>
      <c r="T25" s="36" t="s">
        <v>652</v>
      </c>
      <c r="U25" s="37"/>
      <c r="V25" s="37"/>
      <c r="W25" s="38"/>
      <c r="Y25" s="36" t="s">
        <v>653</v>
      </c>
      <c r="Z25" s="37"/>
      <c r="AA25" s="37"/>
      <c r="AB25" s="38"/>
      <c r="AD25" s="36" t="s">
        <v>654</v>
      </c>
      <c r="AE25" s="37"/>
      <c r="AF25" s="37"/>
      <c r="AG25" s="38"/>
      <c r="AI25" s="36" t="s">
        <v>655</v>
      </c>
      <c r="AJ25" s="37"/>
      <c r="AK25" s="37"/>
      <c r="AL25" s="38"/>
    </row>
    <row r="26" spans="1:38" x14ac:dyDescent="0.25">
      <c r="A26" t="s">
        <v>12</v>
      </c>
      <c r="B26">
        <v>5</v>
      </c>
      <c r="C26" t="s">
        <v>57</v>
      </c>
      <c r="D26" t="s">
        <v>370</v>
      </c>
      <c r="E26" t="s">
        <v>371</v>
      </c>
      <c r="F26" s="1">
        <v>1.2731481481481482E-5</v>
      </c>
      <c r="G26" t="s">
        <v>16</v>
      </c>
      <c r="H26">
        <v>5</v>
      </c>
      <c r="I26">
        <v>108</v>
      </c>
      <c r="J26">
        <v>113</v>
      </c>
      <c r="L26" t="s">
        <v>17</v>
      </c>
      <c r="M26" s="3">
        <f t="shared" si="0"/>
        <v>1.0129999369382858</v>
      </c>
      <c r="O26" s="23" t="s">
        <v>648</v>
      </c>
      <c r="P26" s="23"/>
      <c r="Q26" s="23"/>
      <c r="R26" s="4">
        <f>MIN(P9:R9)</f>
        <v>1.34</v>
      </c>
      <c r="T26" s="23" t="s">
        <v>648</v>
      </c>
      <c r="U26" s="23"/>
      <c r="V26" s="23"/>
      <c r="W26" s="4">
        <f>MIN(U9:W9)</f>
        <v>1.21</v>
      </c>
      <c r="Y26" s="23" t="s">
        <v>648</v>
      </c>
      <c r="Z26" s="23"/>
      <c r="AA26" s="23"/>
      <c r="AB26" s="4">
        <f>MIN(Z9:AB9)</f>
        <v>1.21</v>
      </c>
      <c r="AD26" s="23" t="s">
        <v>648</v>
      </c>
      <c r="AE26" s="23"/>
      <c r="AF26" s="23"/>
      <c r="AG26" s="4">
        <f>MIN(AE9:AG9)</f>
        <v>1.45</v>
      </c>
      <c r="AI26" s="23" t="s">
        <v>648</v>
      </c>
      <c r="AJ26" s="23"/>
      <c r="AK26" s="23"/>
      <c r="AL26" s="4">
        <f>MIN(AJ9:AL9)</f>
        <v>1.44</v>
      </c>
    </row>
    <row r="27" spans="1:38" x14ac:dyDescent="0.25">
      <c r="A27" t="s">
        <v>12</v>
      </c>
      <c r="B27">
        <v>6</v>
      </c>
      <c r="C27" t="s">
        <v>57</v>
      </c>
      <c r="D27" t="s">
        <v>372</v>
      </c>
      <c r="E27" t="s">
        <v>373</v>
      </c>
      <c r="F27" s="1">
        <v>1.1574074074074073E-5</v>
      </c>
      <c r="G27" t="s">
        <v>16</v>
      </c>
      <c r="H27">
        <v>5</v>
      </c>
      <c r="I27">
        <v>108</v>
      </c>
      <c r="J27">
        <v>113</v>
      </c>
      <c r="L27" t="s">
        <v>17</v>
      </c>
      <c r="M27" s="3">
        <f t="shared" si="0"/>
        <v>0.98200030624866486</v>
      </c>
      <c r="O27" s="23" t="s">
        <v>649</v>
      </c>
      <c r="P27" s="23"/>
      <c r="Q27" s="23"/>
      <c r="R27" s="4">
        <f>MAX(P9:R9)</f>
        <v>1.43</v>
      </c>
      <c r="T27" s="23" t="s">
        <v>649</v>
      </c>
      <c r="U27" s="23"/>
      <c r="V27" s="23"/>
      <c r="W27" s="4">
        <f>MAX(U9:W9)</f>
        <v>1.36</v>
      </c>
      <c r="Y27" s="23" t="s">
        <v>649</v>
      </c>
      <c r="Z27" s="23"/>
      <c r="AA27" s="23"/>
      <c r="AB27" s="4">
        <f>MAX(Z9:AB9)</f>
        <v>1.39</v>
      </c>
      <c r="AD27" s="23" t="s">
        <v>649</v>
      </c>
      <c r="AE27" s="23"/>
      <c r="AF27" s="23"/>
      <c r="AG27" s="4">
        <f>MAX(AE9:AG9)</f>
        <v>1.49</v>
      </c>
      <c r="AI27" s="23" t="s">
        <v>649</v>
      </c>
      <c r="AJ27" s="23"/>
      <c r="AK27" s="23"/>
      <c r="AL27" s="4">
        <f>MAX(AJ9:AL9)</f>
        <v>1.52</v>
      </c>
    </row>
    <row r="28" spans="1:38" x14ac:dyDescent="0.25">
      <c r="A28" t="s">
        <v>12</v>
      </c>
      <c r="B28">
        <v>7</v>
      </c>
      <c r="C28" t="s">
        <v>57</v>
      </c>
      <c r="D28" t="s">
        <v>374</v>
      </c>
      <c r="E28" t="s">
        <v>375</v>
      </c>
      <c r="F28" s="1">
        <v>1.5046296296296297E-5</v>
      </c>
      <c r="G28" t="s">
        <v>16</v>
      </c>
      <c r="H28">
        <v>5</v>
      </c>
      <c r="I28">
        <v>108</v>
      </c>
      <c r="J28">
        <v>113</v>
      </c>
      <c r="L28" t="s">
        <v>17</v>
      </c>
      <c r="M28" s="3">
        <f t="shared" si="0"/>
        <v>1.0290001519024372</v>
      </c>
      <c r="O28" s="23" t="s">
        <v>650</v>
      </c>
      <c r="P28" s="23"/>
      <c r="Q28" s="23"/>
      <c r="R28">
        <f>MAX(3*R26, 1)</f>
        <v>4.0200000000000005</v>
      </c>
      <c r="T28" s="23" t="s">
        <v>650</v>
      </c>
      <c r="U28" s="23"/>
      <c r="V28" s="23"/>
      <c r="W28" s="4">
        <f>MAX(3*W26, 1)</f>
        <v>3.63</v>
      </c>
      <c r="Y28" s="23" t="s">
        <v>666</v>
      </c>
      <c r="Z28" s="23"/>
      <c r="AA28" s="23"/>
      <c r="AB28" s="4">
        <f>MAX(3*AB26, 1)</f>
        <v>3.63</v>
      </c>
      <c r="AD28" s="23" t="s">
        <v>650</v>
      </c>
      <c r="AE28" s="23"/>
      <c r="AF28" s="23"/>
      <c r="AG28" s="4">
        <f>MAX(3*AG26, 1)</f>
        <v>4.3499999999999996</v>
      </c>
      <c r="AI28" s="23" t="s">
        <v>666</v>
      </c>
      <c r="AJ28" s="23"/>
      <c r="AK28" s="23"/>
      <c r="AL28" s="4">
        <f>MAX(3*AL26, 1)</f>
        <v>4.32</v>
      </c>
    </row>
    <row r="29" spans="1:38" x14ac:dyDescent="0.25">
      <c r="A29" t="s">
        <v>12</v>
      </c>
      <c r="B29">
        <v>8</v>
      </c>
      <c r="C29" t="s">
        <v>57</v>
      </c>
      <c r="D29" t="s">
        <v>376</v>
      </c>
      <c r="E29" t="s">
        <v>377</v>
      </c>
      <c r="F29" s="1">
        <v>1.6203703703703704E-5</v>
      </c>
      <c r="G29" t="s">
        <v>16</v>
      </c>
      <c r="H29">
        <v>5</v>
      </c>
      <c r="I29">
        <v>108</v>
      </c>
      <c r="J29">
        <v>113</v>
      </c>
      <c r="L29" t="s">
        <v>17</v>
      </c>
      <c r="M29" s="3">
        <f t="shared" si="0"/>
        <v>1.0389999719336629</v>
      </c>
    </row>
    <row r="30" spans="1:38" x14ac:dyDescent="0.25">
      <c r="A30" t="s">
        <v>12</v>
      </c>
      <c r="B30">
        <v>9</v>
      </c>
      <c r="C30" t="s">
        <v>57</v>
      </c>
      <c r="D30" t="s">
        <v>378</v>
      </c>
      <c r="E30" t="s">
        <v>379</v>
      </c>
      <c r="F30" s="1">
        <v>1.3888888888888888E-5</v>
      </c>
      <c r="G30" t="s">
        <v>16</v>
      </c>
      <c r="H30">
        <v>5</v>
      </c>
      <c r="I30">
        <v>108</v>
      </c>
      <c r="J30">
        <v>113</v>
      </c>
      <c r="L30" t="s">
        <v>17</v>
      </c>
      <c r="M30" s="3">
        <f t="shared" si="0"/>
        <v>1.0179995326325297</v>
      </c>
      <c r="O30" s="23" t="s">
        <v>656</v>
      </c>
      <c r="P30" s="23"/>
      <c r="Q30" s="23"/>
      <c r="R30" s="23"/>
      <c r="T30" s="23" t="s">
        <v>667</v>
      </c>
      <c r="U30" s="23"/>
      <c r="V30" s="23"/>
      <c r="Y30" s="24" t="s">
        <v>672</v>
      </c>
      <c r="Z30" s="24"/>
      <c r="AA30" s="24"/>
      <c r="AD30" s="23" t="s">
        <v>704</v>
      </c>
      <c r="AE30" s="23"/>
      <c r="AF30" s="23"/>
      <c r="AG30" s="23"/>
      <c r="AH30" s="23"/>
    </row>
    <row r="31" spans="1:38" x14ac:dyDescent="0.25">
      <c r="A31" t="s">
        <v>12</v>
      </c>
      <c r="B31">
        <v>10</v>
      </c>
      <c r="C31" t="s">
        <v>57</v>
      </c>
      <c r="D31" t="s">
        <v>380</v>
      </c>
      <c r="E31" t="s">
        <v>381</v>
      </c>
      <c r="F31" s="1">
        <v>1.9675925925925925E-5</v>
      </c>
      <c r="G31" t="s">
        <v>16</v>
      </c>
      <c r="H31">
        <v>5</v>
      </c>
      <c r="I31">
        <v>108</v>
      </c>
      <c r="J31">
        <v>113</v>
      </c>
      <c r="L31" t="s">
        <v>17</v>
      </c>
      <c r="M31" s="3">
        <f t="shared" si="0"/>
        <v>1.0700002312660217</v>
      </c>
      <c r="O31" t="s">
        <v>645</v>
      </c>
      <c r="P31" t="str">
        <f>_xlfn.LET(
    _xlpm.sym_mean, Z9,
    _xlpm.dsl_mean, AA9,
    _xlpm.norm_mean, AB9,
    _xlpm.sym_risk, "🟡",
    _xlpm.dsl_risk, "🔴",
    _xlpm.norm_risk, "🔴",
    _xlpm.min_val, MIN(_xlpm.sym_mean, _xlpm.dsl_mean, _xlpm.norm_mean),
    _xlpm.tie_count, (_xlpm.sym_mean = _xlpm.min_val) + (_xlpm.dsl_mean = _xlpm.min_val) + (_xlpm.norm_mean = _xlpm.min_val),
    _xlpm.winner_format, IF(_xlpm.sym_mean = _xlpm.min_val, "Symbolic",
                     IF(_xlpm.dsl_mean = _xlpm.min_val, "DSL/JSON",
                        IF(_xlpm.norm_mean = _xlpm.min_val, "Normal", ""))),
    _xlpm.winner_risk, IF(_xlpm.sym_mean = _xlpm.min_val, _xlpm.sym_risk,
                   IF(_xlpm.dsl_mean = _xlpm.min_val, _xlpm.dsl_risk,
                      IF(_xlpm.norm_mean = _xlpm.min_val, _xlpm.norm_risk, ""))),
    IF(_xlpm.tie_count &gt; 1,
        "🤝 Tie",
        "🏆 " &amp; _xlpm.winner_format &amp; IF(_xlpm.winner_risk = "🟡", "⚠️", "")
    )
)</f>
        <v>🏆 Normal</v>
      </c>
      <c r="U31" s="20">
        <v>46084</v>
      </c>
      <c r="V31" s="20">
        <v>46086</v>
      </c>
      <c r="W31" t="s">
        <v>673</v>
      </c>
      <c r="Y31" s="21" t="s">
        <v>668</v>
      </c>
      <c r="Z31" s="21" t="s">
        <v>669</v>
      </c>
      <c r="AA31" s="21" t="s">
        <v>670</v>
      </c>
      <c r="AD31" t="s">
        <v>681</v>
      </c>
      <c r="AE31" s="7" t="s">
        <v>668</v>
      </c>
      <c r="AF31" s="7" t="s">
        <v>685</v>
      </c>
      <c r="AG31" s="7" t="s">
        <v>670</v>
      </c>
      <c r="AH31" s="7" t="s">
        <v>644</v>
      </c>
      <c r="AI31" s="7"/>
      <c r="AJ31" s="7"/>
      <c r="AK31" s="7"/>
    </row>
    <row r="32" spans="1:38" x14ac:dyDescent="0.25">
      <c r="A32" t="s">
        <v>78</v>
      </c>
      <c r="B32">
        <v>1</v>
      </c>
      <c r="C32" t="s">
        <v>13</v>
      </c>
      <c r="D32" t="s">
        <v>391</v>
      </c>
      <c r="E32" t="s">
        <v>392</v>
      </c>
      <c r="F32" s="1">
        <v>2.5462962962962965E-5</v>
      </c>
      <c r="G32" t="s">
        <v>16</v>
      </c>
      <c r="H32">
        <v>4</v>
      </c>
      <c r="I32">
        <v>74</v>
      </c>
      <c r="J32">
        <v>78</v>
      </c>
      <c r="L32" t="s">
        <v>17</v>
      </c>
      <c r="M32" s="3">
        <f t="shared" si="0"/>
        <v>2.2219999926164746</v>
      </c>
      <c r="O32" t="s">
        <v>646</v>
      </c>
      <c r="P32" t="str">
        <f>_xlfn.LET(
    _xlpm.sym_mean, AJ9,
    _xlpm.dsl_mean, AK9,
    _xlpm.norm_mean, AL9,
    _xlpm.sym_risk, "🟡",
    _xlpm.dsl_risk, "🔴",
    _xlpm.norm_risk, "🔴",
    _xlpm.min_val, MIN(_xlpm.sym_mean, _xlpm.dsl_mean, _xlpm.norm_mean),
    _xlpm.tie_count, (_xlpm.sym_mean = _xlpm.min_val) + (_xlpm.dsl_mean = _xlpm.min_val) + (_xlpm.norm_mean = _xlpm.min_val),
    _xlpm.winner_format, IF(_xlpm.sym_mean = _xlpm.min_val, "Symbolic",
                     IF(_xlpm.dsl_mean = _xlpm.min_val, "DSL/JSON",
                        IF(_xlpm.norm_mean = _xlpm.min_val, "Normal", ""))),
    _xlpm.winner_risk, IF(_xlpm.sym_mean = _xlpm.min_val, _xlpm.sym_risk,
                   IF(_xlpm.dsl_mean = _xlpm.min_val, _xlpm.dsl_risk,
                      IF(_xlpm.norm_mean = _xlpm.min_val, _xlpm.norm_risk, ""))),
    IF(_xlpm.tie_count &gt; 1,
        "🤝 Tie",
        "🏆 " &amp; _xlpm.winner_format &amp; IF(_xlpm.winner_risk = "🟡", "⚠️", "")
    )
)</f>
        <v>🏆 Normal</v>
      </c>
      <c r="T32" t="s">
        <v>382</v>
      </c>
      <c r="U32" t="str">
        <f>_xlfn.LET(
   _xlpm.symbolic, Z9,
   _xlpm.dsl_json, AA9,
   _xlpm.normal, AB9,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Normal (1.21s)</v>
      </c>
      <c r="V32" t="str">
        <f>_xlfn.LET(
   _xlpm.symbolic, AJ9,
   _xlpm.dsl_json, AK9,
   _xlpm.normal, AL9,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Normal (1.44s)</v>
      </c>
      <c r="W32" t="str">
        <f>_xlfn.LET(
   _xlpm.symbolic_eligible, $Y$32,
   _xlpm.dsl_eligible, $Z$32,
   _xlpm.normal_eligible, $AA$32,
   _xlpm.symbolic_warning, $Y$36,
   _xlpm.dsl_warning, $Z$36,
   _xlpm.normal_warning, $AA$36,
   _xlpm.symbolic_w1, $P$34,
   _xlpm.symbolic_w2, $P$34,
   _xlpm.symbolic_mean, ($P$34*Z9 + $P$34*AJ9)/($P$34*2),
   _xlpm.dsl_w1, $P$34,
   _xlpm.dsl_w2, $P$34,
   _xlpm.dsl_mean, ($P$34*AA9 + $P$34*AK9)/($P$34*2),
   _xlpm.normal_w1, $P$34,
   _xlpm.normal_w2, $P$34,
   _xlpm.normal_mean, ($P$34*AB9 + $P$34*AL9)/($P$34*2),
   _xlpm.eligible_means, IF(_xlpm.symbolic_eligible, _xlpm.symbolic_mean, 999) &amp; "," &amp;
                    IF(_xlpm.dsl_eligible, _xlpm.dsl_mean, 999) &amp; "," &amp;
                    IF(_xlpm.normal_eligible, _xlpm.normal_mean, 999),
   _xlpm.fastest, MIN(IF(_xlpm.symbolic_eligible, _xlpm.symbolic_mean, 999),
                IF(_xlpm.dsl_eligible, _xlpm.dsl_mean, 999),
                IF(_xlpm.normal_eligible, _xlpm.normal_mean, 999)),
   _xlpm.tie_count, (IF(_xlpm.symbolic_eligible, IF(_xlpm.symbolic_mean=_xlpm.fastest,1,0),0)) +
              (IF(_xlpm.dsl_eligible, IF(_xlpm.dsl_mean=_xlpm.fastest,1,0),0)) +
              (IF(_xlpm.normal_eligible, IF(_xlpm.normal_mean=_xlpm.fastest,1,0),0)),
   _xlpm.value_text, IF(AND(_xlpm.symbolic_eligible, _xlpm.symbolic_mean=_xlpm.fastest), TEXT(_xlpm.symbolic_mean, "0.00"),
                 IF(AND(_xlpm.dsl_eligible, _xlpm.dsl_mean=_xlpm.fastest), TEXT(_xlpm.dsl_mean, "0.00"),
                 IF(AND(_xlpm.normal_eligible, _xlpm.normal_mean=_xlpm.fastest), TEXT(_xlpm.normal_mean, "0.00"), ""))),
   _xlpm.winner_text, IF(_xlpm.tie_count=0, "⚠️ No Eligible Formats",
                 IF(_xlpm.tie_count&gt;1, "🤝 Tie (" &amp; TEXT(_xlpm.fastest, "0.00") &amp; "s)",
                    IF(AND(_xlpm.symbolic_eligible, _xlpm.symbolic_mean=_xlpm.fastest),
                       "🏆 Symbolic" &amp; _xlpm.symbolic_warning &amp; " (" &amp; _xlpm.value_text &amp; "s)",
                       IF(AND(_xlpm.dsl_eligible, _xlpm.dsl_mean=_xlpm.fastest),
                          "🏆 DSL/JSON" &amp; _xlpm.dsl_warning &amp; " (" &amp; _xlpm.value_text &amp; "s)",
                          IF(AND(_xlpm.normal_eligible, _xlpm.normal_mean=_xlpm.fastest),
                             "🏆 Normal" &amp; _xlpm.normal_warning &amp; " (" &amp; _xlpm.value_text &amp; "s)",
                             "Error"))))),
   _xlpm.winner_text
)</f>
        <v>🏆 Normal (1.33s)</v>
      </c>
      <c r="Y32" s="22" t="b">
        <f>IF(AND(Z21&lt;&gt;"🔴 SEVERE",Z21&lt;&gt;"🚨 CRITICAL",AJ21&lt;&gt;"🔴 SEVERE",AJ21&lt;&gt;"🚨 CRITICAL"), TRUE, FALSE)</f>
        <v>0</v>
      </c>
      <c r="Z32" s="22" t="b">
        <f t="shared" ref="Z32" si="24">IF(AND(AA21&lt;&gt;"🔴 SEVERE",AA21&lt;&gt;"🚨 CRITICAL",AK21&lt;&gt;"🔴 SEVERE",AK21&lt;&gt;"🚨 CRITICAL"), TRUE, FALSE)</f>
        <v>1</v>
      </c>
      <c r="AA32" s="22" t="b">
        <f>IF(AND(AB21&lt;&gt;"🔴 SEVERE",AB21&lt;&gt;"🚨 CRITICAL",AL21&lt;&gt;"🔴 SEVERE",AL21&lt;&gt;"🚨 CRITICAL"), TRUE, FALSE)</f>
        <v>1</v>
      </c>
      <c r="AB32" s="7"/>
      <c r="AD32" t="s">
        <v>682</v>
      </c>
      <c r="AE32" s="4">
        <f>Z9</f>
        <v>1.39</v>
      </c>
      <c r="AF32" s="4">
        <f>AA9</f>
        <v>1.25</v>
      </c>
      <c r="AG32" s="4">
        <f>AB9</f>
        <v>1.21</v>
      </c>
      <c r="AH32" t="str">
        <f>AJ41</f>
        <v>Normal</v>
      </c>
      <c r="AI32" s="7"/>
      <c r="AJ32" s="7"/>
      <c r="AK32" s="7"/>
    </row>
    <row r="33" spans="1:36" x14ac:dyDescent="0.25">
      <c r="A33" t="s">
        <v>78</v>
      </c>
      <c r="B33">
        <v>2</v>
      </c>
      <c r="C33" t="s">
        <v>13</v>
      </c>
      <c r="D33" t="s">
        <v>393</v>
      </c>
      <c r="E33" t="s">
        <v>394</v>
      </c>
      <c r="F33" s="1">
        <v>1.7361111111111111E-5</v>
      </c>
      <c r="G33" t="s">
        <v>16</v>
      </c>
      <c r="H33">
        <v>4</v>
      </c>
      <c r="I33">
        <v>74</v>
      </c>
      <c r="J33">
        <v>78</v>
      </c>
      <c r="L33" t="s">
        <v>17</v>
      </c>
      <c r="M33" s="3">
        <f t="shared" si="0"/>
        <v>1.4680002350360155</v>
      </c>
      <c r="O33" t="s">
        <v>644</v>
      </c>
      <c r="P33" t="str">
        <f>_xlfn.LET(
    _xlpm.sym_mean, P9,
    _xlpm.dsl_mean, Q9,
    _xlpm.norm_mean, R9,
    _xlpm.sym_risk, "🟡",
    _xlpm.dsl_risk, "🔴",
    _xlpm.norm_risk, "🔴",
    _xlpm.min_val, MIN(_xlpm.sym_mean, _xlpm.dsl_mean, _xlpm.norm_mean),
    _xlpm.tie_count, (_xlpm.sym_mean = _xlpm.min_val) + (_xlpm.dsl_mean = _xlpm.min_val) + (_xlpm.norm_mean = _xlpm.min_val),
    _xlpm.winner_format, IF(_xlpm.sym_mean = _xlpm.min_val, "Symbolic",
                     IF(_xlpm.dsl_mean = _xlpm.min_val, "DSL/JSON",
                        IF(_xlpm.norm_mean = _xlpm.min_val, "Normal", ""))),
    _xlpm.winner_risk, IF(_xlpm.sym_mean = _xlpm.min_val, _xlpm.sym_risk,
                   IF(_xlpm.dsl_mean = _xlpm.min_val, _xlpm.dsl_risk,
                      IF(_xlpm.norm_mean = _xlpm.min_val, _xlpm.norm_risk, ""))),
    IF(_xlpm.tie_count &gt; 1,
        "🤝 Tie",
        "🏆 " &amp; _xlpm.winner_format &amp; IF(_xlpm.winner_risk = "🟡", "⚠️", "")
    )
)</f>
        <v>🏆 Normal</v>
      </c>
      <c r="T33" t="s">
        <v>383</v>
      </c>
      <c r="U33" t="str">
        <f>_xlfn.LET(
   _xlpm.symbolic, Z10,
   _xlpm.dsl_json, AA10,
   _xlpm.normal, AB10,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Normal (1.16s)</v>
      </c>
      <c r="V33" t="str">
        <f>_xlfn.LET(
   _xlpm.symbolic, AJ10,
   _xlpm.dsl_json, AK10,
   _xlpm.normal, AL10,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DSL/JSON (1.33s)</v>
      </c>
      <c r="W33" t="str">
        <f>_xlfn.LET(
   _xlpm.symbolic_eligible, $Y$32,
   _xlpm.dsl_eligible, $Z$32,
   _xlpm.normal_eligible, $AA$32,
   _xlpm.symbolic_warning, $Y$36,
   _xlpm.dsl_warning, $Z$36,
   _xlpm.normal_warning, $AA$36,
   _xlpm.symbolic_w1, $P$34,
   _xlpm.symbolic_w2, $P$34,
   _xlpm.symbolic_mean, ($P$34*Z10 + $P$34*AJ10)/($P$34*2),
   _xlpm.dsl_w1, $P$34,
   _xlpm.dsl_w2, $P$34,
   _xlpm.dsl_mean, ($P$34*AA10 + $P$34*AK10)/($P$34*2),
   _xlpm.normal_w1, $P$34,
   _xlpm.normal_w2, $P$34,
   _xlpm.normal_mean, ($P$34*AB10 + $P$34*AL10)/($P$34*2),
   _xlpm.eligible_means, IF(_xlpm.symbolic_eligible, _xlpm.symbolic_mean, 999) &amp; "," &amp;
                    IF(_xlpm.dsl_eligible, _xlpm.dsl_mean, 999) &amp; "," &amp;
                    IF(_xlpm.normal_eligible, _xlpm.normal_mean, 999),
   _xlpm.fastest, MIN(IF(_xlpm.symbolic_eligible, _xlpm.symbolic_mean, 999),
                IF(_xlpm.dsl_eligible, _xlpm.dsl_mean, 999),
                IF(_xlpm.normal_eligible, _xlpm.normal_mean, 999)),
   _xlpm.tie_count, (IF(_xlpm.symbolic_eligible, IF(_xlpm.symbolic_mean=_xlpm.fastest,1,0),0)) +
              (IF(_xlpm.dsl_eligible, IF(_xlpm.dsl_mean=_xlpm.fastest,1,0),0)) +
              (IF(_xlpm.normal_eligible, IF(_xlpm.normal_mean=_xlpm.fastest,1,0),0)),
   _xlpm.value_text, IF(AND(_xlpm.symbolic_eligible, _xlpm.symbolic_mean=_xlpm.fastest), TEXT(_xlpm.symbolic_mean, "0.00"),
                 IF(AND(_xlpm.dsl_eligible, _xlpm.dsl_mean=_xlpm.fastest), TEXT(_xlpm.dsl_mean, "0.00"),
                 IF(AND(_xlpm.normal_eligible, _xlpm.normal_mean=_xlpm.fastest), TEXT(_xlpm.normal_mean, "0.00"), ""))),
   _xlpm.winner_text, IF(_xlpm.tie_count=0, "⚠️ No Eligible Formats",
                 IF(_xlpm.tie_count&gt;1, "🤝 Tie (" &amp; TEXT(_xlpm.fastest, "0.00") &amp; "s)",
                    IF(AND(_xlpm.symbolic_eligible, _xlpm.symbolic_mean=_xlpm.fastest),
                       "🏆 Symbolic" &amp; _xlpm.symbolic_warning &amp; " (" &amp; _xlpm.value_text &amp; "s)",
                       IF(AND(_xlpm.dsl_eligible, _xlpm.dsl_mean=_xlpm.fastest),
                          "🏆 DSL/JSON" &amp; _xlpm.dsl_warning &amp; " (" &amp; _xlpm.value_text &amp; "s)",
                          IF(AND(_xlpm.normal_eligible, _xlpm.normal_mean=_xlpm.fastest),
                             "🏆 Normal" &amp; _xlpm.normal_warning &amp; " (" &amp; _xlpm.value_text &amp; "s)",
                             "Error"))))),
   _xlpm.winner_text
)</f>
        <v>🏆 DSL/JSON (1.29s)</v>
      </c>
      <c r="Y33" s="18"/>
      <c r="Z33" s="7"/>
      <c r="AB33" s="7"/>
      <c r="AD33" t="s">
        <v>683</v>
      </c>
      <c r="AE33" s="4">
        <f>AJ9</f>
        <v>1.48</v>
      </c>
      <c r="AF33" s="4">
        <f>AK9</f>
        <v>1.52</v>
      </c>
      <c r="AG33" s="4">
        <f>AL9</f>
        <v>1.44</v>
      </c>
      <c r="AH33" t="str">
        <f>AJ42</f>
        <v>Normal</v>
      </c>
    </row>
    <row r="34" spans="1:36" ht="16.5" x14ac:dyDescent="0.3">
      <c r="A34" t="s">
        <v>78</v>
      </c>
      <c r="B34">
        <v>3</v>
      </c>
      <c r="C34" t="s">
        <v>13</v>
      </c>
      <c r="D34" t="s">
        <v>395</v>
      </c>
      <c r="E34" t="s">
        <v>396</v>
      </c>
      <c r="F34" s="1">
        <v>1.3888888888888888E-5</v>
      </c>
      <c r="G34" t="s">
        <v>16</v>
      </c>
      <c r="H34">
        <v>4</v>
      </c>
      <c r="I34">
        <v>74</v>
      </c>
      <c r="J34">
        <v>78</v>
      </c>
      <c r="L34" t="s">
        <v>17</v>
      </c>
      <c r="M34" s="3">
        <f t="shared" si="0"/>
        <v>1.1980000650510192</v>
      </c>
      <c r="O34" t="s">
        <v>657</v>
      </c>
      <c r="P34">
        <v>8</v>
      </c>
      <c r="T34" t="s">
        <v>633</v>
      </c>
      <c r="U34" t="str">
        <f>_xlfn.LET(
   _xlpm.symbolic, Z13,
   _xlpm.dsl_json, AA13,
   _xlpm.normal, AB13,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🤝 Tie (1.11s)</v>
      </c>
      <c r="V34" t="str">
        <f>_xlfn.LET(
   _xlpm.symbolic, AJ13,
   _xlpm.dsl_json, AK13,
   _xlpm.normal, AL13,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Normal (1.11s)</v>
      </c>
      <c r="W34" t="str">
        <f>_xlfn.LET(
   _xlpm.symbolic_eligible, $Y$32,
   _xlpm.dsl_eligible, $Z$32,
   _xlpm.normal_eligible, $AA$32,
   _xlpm.symbolic_warning, $Y$36,
   _xlpm.dsl_warning, $Z$36,
   _xlpm.normal_warning, $AA$36,
   _xlpm.symbolic_w1, $P$34,
   _xlpm.symbolic_w2, $P$34,
   _xlpm.symbolic_mean, ($P$34*Z13 + $P$34*AJ13)/($P$34*2),
   _xlpm.dsl_w1, $P$34,
   _xlpm.dsl_w2, $P$34,
   _xlpm.dsl_mean, ($P$34*AA13 + $P$34*AK13)/($P$34*2),
   _xlpm.normal_w1, $P$34,
   _xlpm.normal_w2, $P$34,
   _xlpm.normal_mean, ($P$34*AB13 + $P$34*AL13)/($P$34*2),
   _xlpm.eligible_means, IF(_xlpm.symbolic_eligible, _xlpm.symbolic_mean, 999) &amp; "," &amp;
                    IF(_xlpm.dsl_eligible, _xlpm.dsl_mean, 999) &amp; "," &amp;
                    IF(_xlpm.normal_eligible, _xlpm.normal_mean, 999),
   _xlpm.fastest, MIN(IF(_xlpm.symbolic_eligible, _xlpm.symbolic_mean, 999),
                IF(_xlpm.dsl_eligible, _xlpm.dsl_mean, 999),
                IF(_xlpm.normal_eligible, _xlpm.normal_mean, 999)),
   _xlpm.tie_count, (IF(_xlpm.symbolic_eligible, IF(_xlpm.symbolic_mean=_xlpm.fastest,1,0),0)) +
              (IF(_xlpm.dsl_eligible, IF(_xlpm.dsl_mean=_xlpm.fastest,1,0),0)) +
              (IF(_xlpm.normal_eligible, IF(_xlpm.normal_mean=_xlpm.fastest,1,0),0)),
   _xlpm.value_text, IF(AND(_xlpm.symbolic_eligible, _xlpm.symbolic_mean=_xlpm.fastest), TEXT(_xlpm.symbolic_mean, "0.00"),
                 IF(AND(_xlpm.dsl_eligible, _xlpm.dsl_mean=_xlpm.fastest), TEXT(_xlpm.dsl_mean, "0.00"),
                 IF(AND(_xlpm.normal_eligible, _xlpm.normal_mean=_xlpm.fastest), TEXT(_xlpm.normal_mean, "0.00"), ""))),
   _xlpm.winner_text, IF(_xlpm.tie_count=0, "⚠️ No Eligible Formats",
                 IF(_xlpm.tie_count&gt;1, "🤝 Tie (" &amp; TEXT(_xlpm.fastest, "0.00") &amp; "s)",
                    IF(AND(_xlpm.symbolic_eligible, _xlpm.symbolic_mean=_xlpm.fastest),
                       "🏆 Symbolic" &amp; _xlpm.symbolic_warning &amp; " (" &amp; _xlpm.value_text &amp; "s)",
                       IF(AND(_xlpm.dsl_eligible, _xlpm.dsl_mean=_xlpm.fastest),
                          "🏆 DSL/JSON" &amp; _xlpm.dsl_warning &amp; " (" &amp; _xlpm.value_text &amp; "s)",
                          IF(AND(_xlpm.normal_eligible, _xlpm.normal_mean=_xlpm.fastest),
                             "🏆 Normal" &amp; _xlpm.normal_warning &amp; " (" &amp; _xlpm.value_text &amp; "s)",
                             "Error"))))),
   _xlpm.winner_text
)</f>
        <v>🏆 Normal (1.12s)</v>
      </c>
      <c r="Y34" s="25" t="s">
        <v>671</v>
      </c>
      <c r="Z34" s="25"/>
      <c r="AA34" s="25"/>
      <c r="AB34" s="7"/>
      <c r="AD34" t="s">
        <v>644</v>
      </c>
      <c r="AE34" s="4">
        <f>SUM(AE32:AE33)/2</f>
        <v>1.4350000000000001</v>
      </c>
      <c r="AF34" s="4">
        <f t="shared" ref="AF34:AG34" si="25">SUM(AF32:AF33)/2</f>
        <v>1.385</v>
      </c>
      <c r="AG34" s="4">
        <f t="shared" si="25"/>
        <v>1.325</v>
      </c>
      <c r="AH34" t="str">
        <f>_xlfn.LET(
    _xlpm.sym_mean, Y44, _xlpm.sym_stability, AC44, _xlpm.sym_risk_m3, Z21, _xlpm.sym_risk_m5, AJ21,
    _xlpm.dsl_mean, Z44, _xlpm.dsl_stability, AD44, _xlpm.dsl_risk_m3, AA21, _xlpm.dsl_risk_m5, AK21,
    _xlpm.norm_mean, AA44, _xlpm.norm_stability, AE44, _xlpm.norm_risk_m3, AB21, _xlpm.norm_risk_m5, AL21,
    _xlpm.threshold, AJ55,
    _xlpm.min_mean, MIN(_xlpm.sym_mean, _xlpm.dsl_mean, _xlpm.norm_mean),
    _xlpm.tie_count, (_xlpm.sym_mean=_xlpm.min_mean)+(_xlpm.dsl_mean=_xlpm.min_mean)+(_xlpm.norm_mean=_xlpm.min_mean),
    _xlpm.all_tied, AND(ABS(_xlpm.sym_mean-_xlpm.dsl_mean)&lt;_xlpm.threshold, ABS(_xlpm.sym_mean-_xlpm.norm_mean)&lt;_xlpm.threshold, ABS(_xlpm.dsl_mean-_xlpm.norm_mean)&lt;_xlpm.threshold),
    IF(_xlpm.tie_count&gt;1,
        IF(_xlpm.all_tied,
            IF(AND(_xlpm.sym_stability&gt;=_xlpm.dsl_stability, _xlpm.sym_stability&gt;=_xlpm.norm_stability),
                "🏆 Symbolic" &amp; IF(OR(_xlpm.sym_risk_m3="🟡 MODERATE", _xlpm.sym_risk_m5="🟡 MODERATE"), "⚠️", "") &amp; " Conditional Winner (" &amp; TEXT(_xlpm.sym_mean,"0.00") &amp; "s)&lt;br&gt;&lt;sup&gt;⚖️ Three-way statistical tie | Symbolic wins on stability&lt;br&gt;&lt;/sup&gt;",
            IF(AND(_xlpm.dsl_stability&gt;=_xlpm.sym_stability, _xlpm.dsl_stability&gt;=_xlpm.norm_stability),
                "🏆 DSL/JSON" &amp; IF(OR(_xlpm.dsl_risk_m3="🟡 MODERATE", _xlpm.dsl_risk_m5="🟡 MODERATE"), "⚠️", "") &amp; " Conditional Winner (" &amp; TEXT(_xlpm.dsl_mean,"0.00") &amp; "s)&lt;br&gt;&lt;sup&gt;⚖️ Three-way statistical tie | DSL/JSON wins on stability&lt;br&gt;&lt;/sup&gt;",
                "🏆 Normal" &amp; IF(OR(_xlpm.norm_risk_m3="🟡 MODERATE", _xlpm.norm_risk_m5="🟡 MODERATE"), "⚠️", "") &amp; " Conditional Winner (" &amp; TEXT(_xlpm.norm_mean,"0.00") &amp; "s)&lt;br&gt;&lt;sup&gt;⚖️ Three-way statistical tie | Normal wins on stability&lt;br&gt;&lt;/sup&gt;")),
            "🏆 Need complex tie resolution"),
        IF(_xlpm.sym_mean=_xlpm.min_mean,
            "🏆 Symbolic" &amp; IF(OR(_xlpm.sym_risk_m3="🟡 MODERATE", _xlpm.sym_risk_m5="🟡 MODERATE"), "⚠️", "") &amp; " (" &amp; TEXT(_xlpm.sym_mean,"0.00") &amp; "s)",
        IF(_xlpm.dsl_mean=_xlpm.min_mean,
            "🏆 DSL/JSON" &amp; IF(OR(_xlpm.dsl_risk_m3="🟡 MODERATE", _xlpm.dsl_risk_m5="🟡 MODERATE"), "⚠️", "") &amp; " (" &amp; TEXT(_xlpm.dsl_mean,"0.00") &amp; "s)",
            "🏆 Normal" &amp; IF(OR(_xlpm.norm_risk_m3="🟡 MODERATE", _xlpm.norm_risk_m5="🟡 MODERATE"), "⚠️", "") &amp; " (" &amp; TEXT(_xlpm.norm_mean,"0.00") &amp; "s)")))
)</f>
        <v>🏆 Normal (1.33s)</v>
      </c>
    </row>
    <row r="35" spans="1:36" x14ac:dyDescent="0.25">
      <c r="A35" t="s">
        <v>78</v>
      </c>
      <c r="B35">
        <v>4</v>
      </c>
      <c r="C35" t="s">
        <v>13</v>
      </c>
      <c r="D35" t="s">
        <v>397</v>
      </c>
      <c r="E35" t="s">
        <v>398</v>
      </c>
      <c r="F35" s="1">
        <v>1.8518518518518518E-5</v>
      </c>
      <c r="G35" t="s">
        <v>16</v>
      </c>
      <c r="H35">
        <v>4</v>
      </c>
      <c r="I35">
        <v>74</v>
      </c>
      <c r="J35">
        <v>78</v>
      </c>
      <c r="L35" t="s">
        <v>17</v>
      </c>
      <c r="M35" s="3">
        <f t="shared" si="0"/>
        <v>1.5909998444840312</v>
      </c>
      <c r="O35" t="s">
        <v>658</v>
      </c>
      <c r="P35">
        <f>($P$34*Z9+AJ9*$P$34)/($P$34*2)</f>
        <v>1.4350000000000001</v>
      </c>
      <c r="T35" t="s">
        <v>674</v>
      </c>
      <c r="U35" t="str">
        <f>_xlfn.LET(
   _xlpm.symbolic, Z14,
   _xlpm.dsl_json, AA14,
   _xlpm.normal, AB14,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Normal (1.49s)</v>
      </c>
      <c r="V35" t="str">
        <f>_xlfn.LET(
   _xlpm.symbolic, AJ14,
   _xlpm.dsl_json, AK14,
   _xlpm.normal, AL14,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Symbolic (1.76s)</v>
      </c>
      <c r="W35" t="str">
        <f>_xlfn.LET(
   _xlpm.symbolic_eligible, $Y$32,
   _xlpm.dsl_eligible, $Z$32,
   _xlpm.normal_eligible, $AA$32,
   _xlpm.symbolic_warning, $Y$36,
   _xlpm.dsl_warning, $Z$36,
   _xlpm.normal_warning, $AA$36,
   _xlpm.symbolic_w1, $P$34,
   _xlpm.symbolic_w2, $P$34,
   _xlpm.symbolic_mean, ($P$34*Z14 + $P$34*AJ14)/($P$34*2),
   _xlpm.dsl_w1, $P$34,
   _xlpm.dsl_w2, $P$34,
   _xlpm.dsl_mean, ($P$34*AA14 + $P$34*AK14)/($P$34*2),
   _xlpm.normal_w1, $P$34,
   _xlpm.normal_w2, $P$34,
   _xlpm.normal_mean, ($P$34*AB14 + $P$34*AL14)/($P$34*2),
   _xlpm.eligible_means, IF(_xlpm.symbolic_eligible, _xlpm.symbolic_mean, 999) &amp; "," &amp;
                    IF(_xlpm.dsl_eligible, _xlpm.dsl_mean, 999) &amp; "," &amp;
                    IF(_xlpm.normal_eligible, _xlpm.normal_mean, 999),
   _xlpm.fastest, MIN(IF(_xlpm.symbolic_eligible, _xlpm.symbolic_mean, 999),
                IF(_xlpm.dsl_eligible, _xlpm.dsl_mean, 999),
                IF(_xlpm.normal_eligible, _xlpm.normal_mean, 999)),
   _xlpm.tie_count, (IF(_xlpm.symbolic_eligible, IF(_xlpm.symbolic_mean=_xlpm.fastest,1,0),0)) +
              (IF(_xlpm.dsl_eligible, IF(_xlpm.dsl_mean=_xlpm.fastest,1,0),0)) +
              (IF(_xlpm.normal_eligible, IF(_xlpm.normal_mean=_xlpm.fastest,1,0),0)),
   _xlpm.value_text, IF(AND(_xlpm.symbolic_eligible, _xlpm.symbolic_mean=_xlpm.fastest), TEXT(_xlpm.symbolic_mean, "0.00"),
                 IF(AND(_xlpm.dsl_eligible, _xlpm.dsl_mean=_xlpm.fastest), TEXT(_xlpm.dsl_mean, "0.00"),
                 IF(AND(_xlpm.normal_eligible, _xlpm.normal_mean=_xlpm.fastest), TEXT(_xlpm.normal_mean, "0.00"), ""))),
   _xlpm.winner_text, IF(_xlpm.tie_count=0, "⚠️ No Eligible Formats",
                 IF(_xlpm.tie_count&gt;1, "🤝 Tie (" &amp; TEXT(_xlpm.fastest, "0.00") &amp; "s)",
                    IF(AND(_xlpm.symbolic_eligible, _xlpm.symbolic_mean=_xlpm.fastest),
                       "🏆 Symbolic" &amp; _xlpm.symbolic_warning &amp; " (" &amp; _xlpm.value_text &amp; "s)",
                       IF(AND(_xlpm.dsl_eligible, _xlpm.dsl_mean=_xlpm.fastest),
                          "🏆 DSL/JSON" &amp; _xlpm.dsl_warning &amp; " (" &amp; _xlpm.value_text &amp; "s)",
                          IF(AND(_xlpm.normal_eligible, _xlpm.normal_mean=_xlpm.fastest),
                             "🏆 Normal" &amp; _xlpm.normal_warning &amp; " (" &amp; _xlpm.value_text &amp; "s)",
                             "Error"))))),
   _xlpm.winner_text
)</f>
        <v>🏆 Normal (1.74s)</v>
      </c>
      <c r="Y35" s="21" t="s">
        <v>668</v>
      </c>
      <c r="Z35" s="21" t="s">
        <v>669</v>
      </c>
      <c r="AA35" s="21" t="s">
        <v>670</v>
      </c>
      <c r="AE35" s="4"/>
      <c r="AF35" s="4"/>
      <c r="AG35" s="4"/>
      <c r="AI35" s="23" t="s">
        <v>686</v>
      </c>
      <c r="AJ35" s="23"/>
    </row>
    <row r="36" spans="1:36" x14ac:dyDescent="0.25">
      <c r="A36" t="s">
        <v>78</v>
      </c>
      <c r="B36">
        <v>5</v>
      </c>
      <c r="C36" t="s">
        <v>13</v>
      </c>
      <c r="D36" t="s">
        <v>399</v>
      </c>
      <c r="E36" t="s">
        <v>400</v>
      </c>
      <c r="F36" s="1">
        <v>1.7361111111111111E-5</v>
      </c>
      <c r="G36" t="s">
        <v>16</v>
      </c>
      <c r="H36">
        <v>4</v>
      </c>
      <c r="I36">
        <v>74</v>
      </c>
      <c r="J36">
        <v>78</v>
      </c>
      <c r="L36" t="s">
        <v>17</v>
      </c>
      <c r="M36" s="3">
        <f t="shared" si="0"/>
        <v>1.4559994451701641</v>
      </c>
      <c r="O36" t="s">
        <v>659</v>
      </c>
      <c r="P36">
        <f>($P$34*AA9+AK9*$P$34)/($P$34*2)</f>
        <v>1.385</v>
      </c>
      <c r="T36" t="s">
        <v>675</v>
      </c>
      <c r="U36" t="str">
        <f>_xlfn.LET(
   _xlpm.symbolic, Z15,
   _xlpm.dsl_json, AA15,
   _xlpm.normal, AB15,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🤝 Tie (0.11s)</v>
      </c>
      <c r="V36" t="str">
        <f>_xlfn.LET(
   _xlpm.symbolic, AJ15,
   _xlpm.dsl_json, AK15,
   _xlpm.normal, AL15,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Symbolic (0.20s)</v>
      </c>
      <c r="W36" t="str">
        <f>_xlfn.LET(
   _xlpm.symbolic_eligible, $Y$32,
   _xlpm.dsl_eligible, $Z$32,
   _xlpm.normal_eligible, $AA$32,
   _xlpm.symbolic_warning, $Y$36,
   _xlpm.dsl_warning, $Z$36,
   _xlpm.normal_warning, $AA$36,
   _xlpm.symbolic_w1, $P$34,
   _xlpm.symbolic_w2, $P$34,
   _xlpm.symbolic_mean, ($P$34*Z15 + $P$34*AJ15)/($P$34*2),
   _xlpm.dsl_w1, $P$34,
   _xlpm.dsl_w2, $P$34,
   _xlpm.dsl_mean, ($P$34*AA15 + $P$34*AK15)/($P$34*2),
   _xlpm.normal_w1, $P$34,
   _xlpm.normal_w2, $P$34,
   _xlpm.normal_mean, ($P$34*AB15 + $P$34*AL15)/($P$34*2),
   _xlpm.eligible_means, IF(_xlpm.symbolic_eligible, _xlpm.symbolic_mean, 999) &amp; "," &amp;
                    IF(_xlpm.dsl_eligible, _xlpm.dsl_mean, 999) &amp; "," &amp;
                    IF(_xlpm.normal_eligible, _xlpm.normal_mean, 999),
   _xlpm.fastest, MIN(IF(_xlpm.symbolic_eligible, _xlpm.symbolic_mean, 999),
                IF(_xlpm.dsl_eligible, _xlpm.dsl_mean, 999),
                IF(_xlpm.normal_eligible, _xlpm.normal_mean, 999)),
   _xlpm.tie_count, (IF(_xlpm.symbolic_eligible, IF(_xlpm.symbolic_mean=_xlpm.fastest,1,0),0)) +
              (IF(_xlpm.dsl_eligible, IF(_xlpm.dsl_mean=_xlpm.fastest,1,0),0)) +
              (IF(_xlpm.normal_eligible, IF(_xlpm.normal_mean=_xlpm.fastest,1,0),0)),
   _xlpm.value_text, IF(AND(_xlpm.symbolic_eligible, _xlpm.symbolic_mean=_xlpm.fastest), TEXT(_xlpm.symbolic_mean, "0.00"),
                 IF(AND(_xlpm.dsl_eligible, _xlpm.dsl_mean=_xlpm.fastest), TEXT(_xlpm.dsl_mean, "0.00"),
                 IF(AND(_xlpm.normal_eligible, _xlpm.normal_mean=_xlpm.fastest), TEXT(_xlpm.normal_mean, "0.00"), ""))),
   _xlpm.winner_text, IF(_xlpm.tie_count=0, "⚠️ No Eligible Formats",
                 IF(_xlpm.tie_count&gt;1, "🤝 Tie (" &amp; TEXT(_xlpm.fastest, "0.00") &amp; "s)",
                    IF(AND(_xlpm.symbolic_eligible, _xlpm.symbolic_mean=_xlpm.fastest),
                       "🏆 Symbolic" &amp; _xlpm.symbolic_warning &amp; " (" &amp; _xlpm.value_text &amp; "s)",
                       IF(AND(_xlpm.dsl_eligible, _xlpm.dsl_mean=_xlpm.fastest),
                          "🏆 DSL/JSON" &amp; _xlpm.dsl_warning &amp; " (" &amp; _xlpm.value_text &amp; "s)",
                          IF(AND(_xlpm.normal_eligible, _xlpm.normal_mean=_xlpm.fastest),
                             "🏆 Normal" &amp; _xlpm.normal_warning &amp; " (" &amp; _xlpm.value_text &amp; "s)",
                             "Error"))))),
   _xlpm.winner_text
)</f>
        <v>🏆 Normal (0.19s)</v>
      </c>
      <c r="Y36" s="22" t="str">
        <f>IF(AND(Y32=TRUE,OR(Z21="🟡 MODERATE",AJ21="🟡 MODERATE")), "⚠️", "")</f>
        <v/>
      </c>
      <c r="Z36" s="22" t="str">
        <f t="shared" ref="Z36:AA36" si="26">IF(AND(Z32=TRUE,OR(AA21="🟡 MODERATE",AK21="🟡 MODERATE")), "⚠️", "")</f>
        <v/>
      </c>
      <c r="AA36" s="22" t="str">
        <f t="shared" si="26"/>
        <v/>
      </c>
      <c r="AE36" s="4"/>
      <c r="AF36" s="4"/>
      <c r="AG36" s="4"/>
      <c r="AI36" t="s">
        <v>687</v>
      </c>
      <c r="AJ36" t="s">
        <v>688</v>
      </c>
    </row>
    <row r="37" spans="1:36" x14ac:dyDescent="0.25">
      <c r="A37" t="s">
        <v>78</v>
      </c>
      <c r="B37">
        <v>6</v>
      </c>
      <c r="C37" t="s">
        <v>13</v>
      </c>
      <c r="D37" t="s">
        <v>401</v>
      </c>
      <c r="E37" t="s">
        <v>402</v>
      </c>
      <c r="F37" s="1">
        <v>1.7361111111111111E-5</v>
      </c>
      <c r="G37" t="s">
        <v>16</v>
      </c>
      <c r="H37">
        <v>4</v>
      </c>
      <c r="I37">
        <v>74</v>
      </c>
      <c r="J37">
        <v>78</v>
      </c>
      <c r="L37" t="s">
        <v>17</v>
      </c>
      <c r="M37" s="3">
        <f t="shared" si="0"/>
        <v>1.5409994870424271</v>
      </c>
      <c r="O37" t="s">
        <v>660</v>
      </c>
      <c r="P37">
        <f>($P$34*AB9+AL9*$P$34)/($P$34*2)</f>
        <v>1.325</v>
      </c>
      <c r="T37" t="s">
        <v>676</v>
      </c>
      <c r="U37" t="str">
        <f>_xlfn.LET(
   _xlpm.symbolic, Z17,
   _xlpm.dsl_json, AA17,
   _xlpm.normal, AB17,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Normal (1.40s)</v>
      </c>
      <c r="V37" t="str">
        <f>_xlfn.LET(
   _xlpm.symbolic, AJ17,
   _xlpm.dsl_json, AK17,
   _xlpm.normal, AL17,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Symbolic (1.74s)</v>
      </c>
      <c r="W37" t="str">
        <f>_xlfn.LET(
   _xlpm.symbolic_eligible, $Y$32,
   _xlpm.dsl_eligible, $Z$32,
   _xlpm.normal_eligible, $AA$32,
   _xlpm.symbolic_warning, $Y$36,
   _xlpm.dsl_warning, $Z$36,
   _xlpm.normal_warning, $AA$36,
   _xlpm.symbolic_w1, $P$34,
   _xlpm.symbolic_w2, $P$34,
   _xlpm.symbolic_mean, ($P$34*Z17 + $P$34*AJ17)/($P$34*2),
   _xlpm.dsl_w1, $P$34,
   _xlpm.dsl_w2, $P$34,
   _xlpm.dsl_mean, ($P$34*AA17 + $P$34*AK17)/($P$34*2),
   _xlpm.normal_w1, $P$34,
   _xlpm.normal_w2, $P$34,
   _xlpm.normal_mean, ($P$34*AB17 + $P$34*AL17)/($P$34*2),
   _xlpm.eligible_means, IF(_xlpm.symbolic_eligible, _xlpm.symbolic_mean, 999) &amp; "," &amp;
                    IF(_xlpm.dsl_eligible, _xlpm.dsl_mean, 999) &amp; "," &amp;
                    IF(_xlpm.normal_eligible, _xlpm.normal_mean, 999),
   _xlpm.fastest, MIN(IF(_xlpm.symbolic_eligible, _xlpm.symbolic_mean, 999),
                IF(_xlpm.dsl_eligible, _xlpm.dsl_mean, 999),
                IF(_xlpm.normal_eligible, _xlpm.normal_mean, 999)),
   _xlpm.tie_count, (IF(_xlpm.symbolic_eligible, IF(_xlpm.symbolic_mean=_xlpm.fastest,1,0),0)) +
              (IF(_xlpm.dsl_eligible, IF(_xlpm.dsl_mean=_xlpm.fastest,1,0),0)) +
              (IF(_xlpm.normal_eligible, IF(_xlpm.normal_mean=_xlpm.fastest,1,0),0)),
   _xlpm.value_text, IF(AND(_xlpm.symbolic_eligible, _xlpm.symbolic_mean=_xlpm.fastest), TEXT(_xlpm.symbolic_mean, "0.00"),
                 IF(AND(_xlpm.dsl_eligible, _xlpm.dsl_mean=_xlpm.fastest), TEXT(_xlpm.dsl_mean, "0.00"),
                 IF(AND(_xlpm.normal_eligible, _xlpm.normal_mean=_xlpm.fastest), TEXT(_xlpm.normal_mean, "0.00"), ""))),
   _xlpm.winner_text, IF(_xlpm.tie_count=0, "⚠️ No Eligible Formats",
                 IF(_xlpm.tie_count&gt;1, "🤝 Tie (" &amp; TEXT(_xlpm.fastest, "0.00") &amp; "s)",
                    IF(AND(_xlpm.symbolic_eligible, _xlpm.symbolic_mean=_xlpm.fastest),
                       "🏆 Symbolic" &amp; _xlpm.symbolic_warning &amp; " (" &amp; _xlpm.value_text &amp; "s)",
                       IF(AND(_xlpm.dsl_eligible, _xlpm.dsl_mean=_xlpm.fastest),
                          "🏆 DSL/JSON" &amp; _xlpm.dsl_warning &amp; " (" &amp; _xlpm.value_text &amp; "s)",
                          IF(AND(_xlpm.normal_eligible, _xlpm.normal_mean=_xlpm.fastest),
                             "🏆 Normal" &amp; _xlpm.normal_warning &amp; " (" &amp; _xlpm.value_text &amp; "s)",
                             "Error"))))),
   _xlpm.winner_text
)</f>
        <v>🏆 Normal (1.63s)</v>
      </c>
      <c r="Z37" s="7"/>
      <c r="AE37" s="4"/>
      <c r="AF37" s="4"/>
      <c r="AG37" s="4"/>
      <c r="AI37" t="s">
        <v>689</v>
      </c>
      <c r="AJ37">
        <f>MIN(IF(AND(Y32=TRUE, Y40="✅ ELIGIBLE"), Y44, 9999),
     IF(AND(Z32=TRUE, Z40="✅ ELIGIBLE"), Z44, 9999),
     IF(AND(AA32=TRUE, AA40="✅ ELIGIBLE"), AA44, 9999))</f>
        <v>1.33</v>
      </c>
    </row>
    <row r="38" spans="1:36" x14ac:dyDescent="0.25">
      <c r="A38" t="s">
        <v>78</v>
      </c>
      <c r="B38">
        <v>7</v>
      </c>
      <c r="C38" t="s">
        <v>13</v>
      </c>
      <c r="D38" t="s">
        <v>403</v>
      </c>
      <c r="E38" t="s">
        <v>404</v>
      </c>
      <c r="F38" s="1">
        <v>1.8518518518518518E-5</v>
      </c>
      <c r="G38" t="s">
        <v>16</v>
      </c>
      <c r="H38">
        <v>4</v>
      </c>
      <c r="I38">
        <v>74</v>
      </c>
      <c r="J38">
        <v>78</v>
      </c>
      <c r="L38" t="s">
        <v>17</v>
      </c>
      <c r="M38" s="3">
        <f t="shared" si="0"/>
        <v>1.567000150680542</v>
      </c>
      <c r="O38" t="s">
        <v>661</v>
      </c>
      <c r="P38">
        <f>MIN(P9:R9)*0.05</f>
        <v>6.7000000000000004E-2</v>
      </c>
      <c r="T38" t="s">
        <v>677</v>
      </c>
      <c r="U38" t="str">
        <f>_xlfn.LET(
   _xlpm.symbolic, Z19,
   _xlpm.dsl_json, AA19,
   _xlpm.normal, AB19,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Symbolic (0.06s)</v>
      </c>
      <c r="V38" t="str">
        <f>_xlfn.LET(
   _xlpm.symbolic, AJ19,
   _xlpm.dsl_json, AK19,
   _xlpm.normal, AL19,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Normal (0.26s)</v>
      </c>
      <c r="W38" t="str">
        <f>_xlfn.LET(
   _xlpm.symbolic_eligible, $Y$32,
   _xlpm.dsl_eligible, $Z$32,
   _xlpm.normal_eligible, $AA$32,
   _xlpm.symbolic_warning, $Y$36,
   _xlpm.dsl_warning, $Z$36,
   _xlpm.normal_warning, $AA$36,
   _xlpm.symbolic_w1, $P$34,
   _xlpm.symbolic_w2, $P$34,
   _xlpm.symbolic_mean, ($P$34*Z19 + $P$34*AJ19)/($P$34*2),
   _xlpm.dsl_w1, $P$34,
   _xlpm.dsl_w2, $P$34,
   _xlpm.dsl_mean, ($P$34*AA19 + $P$34*AK19)/($P$34*2),
   _xlpm.normal_w1, $P$34,
   _xlpm.normal_w2, $P$34,
   _xlpm.normal_mean, ($P$34*AB19 + $P$34*AL19)/($P$34*2),
   _xlpm.eligible_means, IF(_xlpm.symbolic_eligible, _xlpm.symbolic_mean, 999) &amp; "," &amp;
                    IF(_xlpm.dsl_eligible, _xlpm.dsl_mean, 999) &amp; "," &amp;
                    IF(_xlpm.normal_eligible, _xlpm.normal_mean, 999),
   _xlpm.fastest, MIN(IF(_xlpm.symbolic_eligible, _xlpm.symbolic_mean, 999),
                IF(_xlpm.dsl_eligible, _xlpm.dsl_mean, 999),
                IF(_xlpm.normal_eligible, _xlpm.normal_mean, 999)),
   _xlpm.tie_count, (IF(_xlpm.symbolic_eligible, IF(_xlpm.symbolic_mean=_xlpm.fastest,1,0),0)) +
              (IF(_xlpm.dsl_eligible, IF(_xlpm.dsl_mean=_xlpm.fastest,1,0),0)) +
              (IF(_xlpm.normal_eligible, IF(_xlpm.normal_mean=_xlpm.fastest,1,0),0)),
   _xlpm.value_text, IF(AND(_xlpm.symbolic_eligible, _xlpm.symbolic_mean=_xlpm.fastest), TEXT(_xlpm.symbolic_mean, "0.00"),
                 IF(AND(_xlpm.dsl_eligible, _xlpm.dsl_mean=_xlpm.fastest), TEXT(_xlpm.dsl_mean, "0.00"),
                 IF(AND(_xlpm.normal_eligible, _xlpm.normal_mean=_xlpm.fastest), TEXT(_xlpm.normal_mean, "0.00"), ""))),
   _xlpm.winner_text, IF(_xlpm.tie_count=0, "⚠️ No Eligible Formats",
                 IF(_xlpm.tie_count&gt;1, "🤝 Tie (" &amp; TEXT(_xlpm.fastest, "0.00") &amp; "s)",
                    IF(AND(_xlpm.symbolic_eligible, _xlpm.symbolic_mean=_xlpm.fastest),
                       "🏆 Symbolic" &amp; _xlpm.symbolic_warning &amp; " (" &amp; _xlpm.value_text &amp; "s)",
                       IF(AND(_xlpm.dsl_eligible, _xlpm.dsl_mean=_xlpm.fastest),
                          "🏆 DSL/JSON" &amp; _xlpm.dsl_warning &amp; " (" &amp; _xlpm.value_text &amp; "s)",
                          IF(AND(_xlpm.normal_eligible, _xlpm.normal_mean=_xlpm.fastest),
                             "🏆 Normal" &amp; _xlpm.normal_warning &amp; " (" &amp; _xlpm.value_text &amp; "s)",
                             "Error"))))),
   _xlpm.winner_text
)</f>
        <v>🏆 Normal (0.18s)</v>
      </c>
      <c r="Y38" s="24" t="s">
        <v>684</v>
      </c>
      <c r="Z38" s="24"/>
      <c r="AA38" s="24"/>
      <c r="AE38" s="4"/>
      <c r="AF38" s="4"/>
      <c r="AG38" s="4"/>
      <c r="AI38" t="s">
        <v>690</v>
      </c>
      <c r="AJ38">
        <f>ROUND(AJ37 * 0.05,2)</f>
        <v>7.0000000000000007E-2</v>
      </c>
    </row>
    <row r="39" spans="1:36" x14ac:dyDescent="0.25">
      <c r="A39" t="s">
        <v>78</v>
      </c>
      <c r="B39">
        <v>8</v>
      </c>
      <c r="C39" t="s">
        <v>13</v>
      </c>
      <c r="D39" t="s">
        <v>405</v>
      </c>
      <c r="E39" t="s">
        <v>406</v>
      </c>
      <c r="F39" s="1">
        <v>2.0833333333333333E-5</v>
      </c>
      <c r="G39" t="s">
        <v>16</v>
      </c>
      <c r="H39">
        <v>4</v>
      </c>
      <c r="I39">
        <v>74</v>
      </c>
      <c r="J39">
        <v>78</v>
      </c>
      <c r="L39" t="s">
        <v>17</v>
      </c>
      <c r="M39" s="3">
        <f t="shared" si="0"/>
        <v>1.8309999257326126</v>
      </c>
      <c r="O39" t="s">
        <v>647</v>
      </c>
      <c r="P39" t="str">
        <f>_xlfn.LET(
    _xlpm.sym_mean, P9,
    _xlpm.dsl_mean, Q9,
    _xlpm.norm_mean, R9,
    _xlpm.sym_iqr_m3, Z20,
    _xlpm.dsl_iqr_m3, AA20,
    _xlpm.norm_iqr_m3, AB20,
    _xlpm.sym_p95_m3, Z17,
    _xlpm.dsl_p95_m3, AA17,
    _xlpm.norm_p95_m3, AB17,
    _xlpm.sym_iqr_m5, AJ20,
    _xlpm.dsl_iqr_m5, AK20,
    _xlpm.norm_iqr_m5, AL20,
    _xlpm.sym_p95_m5, AJ17,
    _xlpm.dsl_p95_m5, AK17,
    _xlpm.norm_p95_m5, AL17,
    _xlpm.t_m3, AB28,
    _xlpm.t_m5, AL28,
    _xlpm.threshold, P38,
    _xlpm.sym_risk_m3, IF(_xlpm.sym_iqr_m3 &lt; 20, "✅",
                   IF(AND(_xlpm.sym_iqr_m3 &gt;= 20, _xlpm.sym_iqr_m3 &lt; 30),
                       IF(_xlpm.sym_p95_m3 &lt; _xlpm.t_m3, "🟡", "🔴"),
                       IF(AND(_xlpm.sym_iqr_m3 &gt;= 30, _xlpm.sym_iqr_m3 &lt;= 50), "🔴",
                           IF(_xlpm.sym_iqr_m3 &gt; 50, "🚨", "⚠️")))),
    _xlpm.dsl_risk_m3, IF(_xlpm.dsl_iqr_m3 &lt; 20, "✅",
                   IF(AND(_xlpm.dsl_iqr_m3 &gt;= 20, _xlpm.dsl_iqr_m3 &lt; 30),
                       IF(_xlpm.dsl_p95_m3 &lt; _xlpm.t_m3, "🟡", "🔴"),
                       IF(AND(_xlpm.dsl_iqr_m3 &gt;= 30, _xlpm.dsl_iqr_m3 &lt;= 50), "🔴",
                           IF(_xlpm.dsl_iqr_m3 &gt; 50, "🚨", "⚠️")))),
    _xlpm.norm_risk_m3, IF(_xlpm.norm_iqr_m3 &lt; 20, "✅",
                    IF(AND(_xlpm.norm_iqr_m3 &gt;= 20, _xlpm.norm_iqr_m3 &lt; 30),
                        IF(_xlpm.norm_p95_m3 &lt; _xlpm.t_m3, "🟡", "🔴"),
                        IF(AND(_xlpm.norm_iqr_m3 &gt;= 30, _xlpm.norm_iqr_m3 &lt;= 50), "🔴",
                            IF(_xlpm.norm_iqr_m3 &gt; 50, "🚨", "⚠️")))),
    _xlpm.sym_risk_m5, IF(_xlpm.sym_iqr_m5 &lt; 20, "✅",
                   IF(AND(_xlpm.sym_iqr_m5 &gt;= 20, _xlpm.sym_iqr_m5 &lt; 30),
                       IF(_xlpm.sym_p95_m5 &lt; _xlpm.t_m5, "🟡", "🔴"),
                       IF(AND(_xlpm.sym_iqr_m5 &gt;= 30, _xlpm.sym_iqr_m5 &lt;= 50), "🔴",
                           IF(_xlpm.sym_iqr_m5 &gt; 50, "🚨", "⚠️")))),
    _xlpm.dsl_risk_m5, IF(_xlpm.dsl_iqr_m5 &lt; 20, "✅",
                   IF(AND(_xlpm.dsl_iqr_m5 &gt;= 20, _xlpm.dsl_iqr_m5 &lt; 30),
                       IF(_xlpm.dsl_p95_m5 &lt; _xlpm.t_m5, "🟡", "🔴"),
                       IF(AND(_xlpm.dsl_iqr_m5 &gt;= 30, _xlpm.dsl_iqr_m5 &lt;= 50), "🔴",
                           IF(_xlpm.dsl_iqr_m5 &gt; 50, "🚨", "⚠️")))),
    _xlpm.norm_risk_m5, IF(_xlpm.norm_iqr_m5 &lt; 20, "✅",
                    IF(AND(_xlpm.norm_iqr_m5 &gt;= 20, _xlpm.norm_iqr_m5 &lt; 30),
                        IF(_xlpm.norm_p95_m5 &lt; _xlpm.t_m5, "🟡", "🔴"),
                        IF(AND(_xlpm.norm_iqr_m5 &gt;= 30, _xlpm.norm_iqr_m5 &lt;= 50), "🔴",
                            IF(_xlpm.norm_iqr_m5 &gt; 50, "🚨", "⚠️")))),
    _xlpm.sym_eligible, AND(_xlpm.sym_risk_m3 &lt;&gt; "🔴", _xlpm.sym_risk_m3 &lt;&gt; "🚨",
                     _xlpm.sym_risk_m5 &lt;&gt; "🔴", _xlpm.sym_risk_m5 &lt;&gt; "🚨"),
    _xlpm.dsl_eligible, AND(_xlpm.dsl_risk_m3 &lt;&gt; "🔴", _xlpm.dsl_risk_m3 &lt;&gt; "🚨",
                     _xlpm.dsl_risk_m5 &lt;&gt; "🔴", _xlpm.dsl_risk_m5 &lt;&gt; "🚨"),
    _xlpm.norm_eligible, AND(_xlpm.norm_risk_m3 &lt;&gt; "🔴", _xlpm.norm_risk_m3 &lt;&gt; "🚨",
                      _xlpm.norm_risk_m5 &lt;&gt; "🔴", _xlpm.norm_risk_m5 &lt;&gt; "🚨"),
    _xlpm.min_eligible, MIN(
        IF(_xlpm.sym_eligible, _xlpm.sym_mean, 9999),
        IF(_xlpm.dsl_eligible, _xlpm.dsl_mean, 9999),
        IF(_xlpm.norm_eligible, _xlpm.norm_mean, 9999)
    ),
    _xlpm.tie_count, (_xlpm.sym_eligible * (_xlpm.sym_mean = _xlpm.min_eligible)) +
               (_xlpm.dsl_eligible * (_xlpm.dsl_mean = _xlpm.min_eligible)) +
               (_xlpm.norm_eligible * (_xlpm.norm_mean = _xlpm.min_eligible)),
    _xlpm.second_best, MIN(
        IF(_xlpm.sym_eligible * (_xlpm.sym_mean &gt; _xlpm.min_eligible), _xlpm.sym_mean, 9999),
        IF(_xlpm.dsl_eligible * (_xlpm.dsl_mean &gt; _xlpm.min_eligible), _xlpm.dsl_mean, 9999),
        IF(_xlpm.norm_eligible * (_xlpm.norm_mean &gt; _xlpm.min_eligible), _xlpm.norm_mean, 9999)
    ),
    _xlpm.diff, _xlpm.second_best - _xlpm.min_eligible,
    _xlpm.sym_risk_combined, IF(OR(_xlpm.sym_risk_m3 = "🔴", _xlpm.sym_risk_m3 = "🚨",
                            _xlpm.sym_risk_m5 = "🔴", _xlpm.sym_risk_m5 = "🚨"), "🔴",
                         IF(OR(_xlpm.sym_risk_m3 = "🟡", _xlpm.sym_risk_m5 = "🟡"), "🟡", "✅")),
    _xlpm.dsl_risk_combined, IF(OR(_xlpm.dsl_risk_m3 = "🔴", _xlpm.dsl_risk_m3 = "🚨",
                            _xlpm.dsl_risk_m5 = "🔴", _xlpm.dsl_risk_m5 = "🚨"), "🔴",
                         IF(OR(_xlpm.dsl_risk_m3 = "🟡", _xlpm.dsl_risk_m5 = "🟡"), "🟡", "✅")),
    _xlpm.norm_risk_combined, IF(OR(_xlpm.norm_risk_m3 = "🔴", _xlpm.norm_risk_m3 = "🚨",
                             _xlpm.norm_risk_m5 = "🔴", _xlpm.norm_risk_m5 = "🚨"), "🔴",
                          IF(OR(_xlpm.norm_risk_m3 = "🟡", _xlpm.norm_risk_m5 = "🟡"), "🟡", "✅")),
    _xlpm.winner_text, IF(_xlpm.sym_eligible * (_xlpm.sym_mean = _xlpm.min_eligible),
                    "Symbolic" &amp; IF(_xlpm.sym_risk_combined = "🟡", "⚠️", ""),
                   IF(_xlpm.dsl_eligible * (_xlpm.dsl_mean = _xlpm.min_eligible),
                    "DSL/JSON" &amp; IF(_xlpm.dsl_risk_combined = "🟡", "⚠️", ""),
                   IF(_xlpm.norm_eligible * (_xlpm.norm_mean = _xlpm.min_eligible),
                    "Normal" &amp; IF(_xlpm.norm_risk_combined = "🟡", "⚠️", ""), ""))),
    IF(_xlpm.min_eligible = 9999,
        "⚠️ No Eligible Formats",
        IF(_xlpm.tie_count &gt; 1,
            "⚖️ Statistical Tie†",
            IF(_xlpm.diff &lt; _xlpm.threshold,
                "⚖️ Statistical Tie†",
                "🏆 " &amp; _xlpm.winner_text
            )
        )
    )
)</f>
        <v>🏆 Normal</v>
      </c>
      <c r="T39" t="s">
        <v>678</v>
      </c>
      <c r="U39" t="str">
        <f>_xlfn.LET(
   _xlpm.symbolic, Z22,
   _xlpm.dsl_json, AA22,
   _xlpm.normal, AB22,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Normal (0.37s)</v>
      </c>
      <c r="V39" t="str">
        <f>_xlfn.LET(
   _xlpm.symbolic, AJ22,
   _xlpm.dsl_json, AK22,
   _xlpm.normal, AL22,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Symbolic (0.52s)</v>
      </c>
      <c r="W39" t="str">
        <f>_xlfn.LET(
   _xlpm.symbolic_eligible, $Y$32,
   _xlpm.dsl_eligible, $Z$32,
   _xlpm.normal_eligible, $AA$32,
   _xlpm.symbolic_warning, $Y$36,
   _xlpm.dsl_warning, $Z$36,
   _xlpm.normal_warning, $AA$36,
   _xlpm.symbolic_w1, $P$34,
   _xlpm.symbolic_w2, $P$34,
   _xlpm.symbolic_mean, ($P$34*Z22 + $P$34*AJ22)/($P$34*2),
   _xlpm.dsl_w1, $P$34,
   _xlpm.dsl_w2, $P$34,
   _xlpm.dsl_mean, ($P$34*AA22 + $P$34*AK22)/($P$34*2),
   _xlpm.normal_w1, $P$34,
   _xlpm.normal_w2, $P$34,
   _xlpm.normal_mean, ($P$34*AB22 + $P$34*AL22)/($P$34*2),
   _xlpm.eligible_means, IF(_xlpm.symbolic_eligible, _xlpm.symbolic_mean, 999) &amp; "," &amp;
                    IF(_xlpm.dsl_eligible, _xlpm.dsl_mean, 999) &amp; "," &amp;
                    IF(_xlpm.normal_eligible, _xlpm.normal_mean, 999),
   _xlpm.fastest, MIN(IF(_xlpm.symbolic_eligible, _xlpm.symbolic_mean, 999),
                IF(_xlpm.dsl_eligible, _xlpm.dsl_mean, 999),
                IF(_xlpm.normal_eligible, _xlpm.normal_mean, 999)),
   _xlpm.tie_count, (IF(_xlpm.symbolic_eligible, IF(_xlpm.symbolic_mean=_xlpm.fastest,1,0),0)) +
              (IF(_xlpm.dsl_eligible, IF(_xlpm.dsl_mean=_xlpm.fastest,1,0),0)) +
              (IF(_xlpm.normal_eligible, IF(_xlpm.normal_mean=_xlpm.fastest,1,0),0)),
   _xlpm.value_text, IF(AND(_xlpm.symbolic_eligible, _xlpm.symbolic_mean=_xlpm.fastest), TEXT(_xlpm.symbolic_mean, "0.00"),
                 IF(AND(_xlpm.dsl_eligible, _xlpm.dsl_mean=_xlpm.fastest), TEXT(_xlpm.dsl_mean, "0.00"),
                 IF(AND(_xlpm.normal_eligible, _xlpm.normal_mean=_xlpm.fastest), TEXT(_xlpm.normal_mean, "0.00"), ""))),
   _xlpm.winner_text, IF(_xlpm.tie_count=0, "⚠️ No Eligible Formats",
                 IF(_xlpm.tie_count&gt;1, "🤝 Tie (" &amp; TEXT(_xlpm.fastest, "0.00") &amp; "s)",
                    IF(AND(_xlpm.symbolic_eligible, _xlpm.symbolic_mean=_xlpm.fastest),
                       "🏆 Symbolic" &amp; _xlpm.symbolic_warning &amp; " (" &amp; _xlpm.value_text &amp; "s)",
                       IF(AND(_xlpm.dsl_eligible, _xlpm.dsl_mean=_xlpm.fastest),
                          "🏆 DSL/JSON" &amp; _xlpm.dsl_warning &amp; " (" &amp; _xlpm.value_text &amp; "s)",
                          IF(AND(_xlpm.normal_eligible, _xlpm.normal_mean=_xlpm.fastest),
                             "🏆 Normal" &amp; _xlpm.normal_warning &amp; " (" &amp; _xlpm.value_text &amp; "s)",
                             "Error"))))),
   _xlpm.winner_text
)</f>
        <v>🏆 Normal (0.63s)</v>
      </c>
      <c r="Y39" s="21" t="s">
        <v>668</v>
      </c>
      <c r="Z39" s="21" t="s">
        <v>669</v>
      </c>
      <c r="AA39" s="21" t="s">
        <v>670</v>
      </c>
      <c r="AE39" s="7"/>
      <c r="AF39" s="7"/>
      <c r="AG39" s="7"/>
      <c r="AI39" t="s">
        <v>691</v>
      </c>
      <c r="AJ39">
        <f>MIN(
   IF(AND(Y32=TRUE, Y40="✅ ELIGIBLE"), Y44, 9999),
   IF(AND(Z32=TRUE, Z40="✅ ELIGIBLE"), Z44, 9999),
   IF(AND(AA32=TRUE, AA40="✅ ELIGIBLE"), AA44, 9999),
   IF(
      MIN(
         IF(AND(Y32=TRUE, Y40="✅ ELIGIBLE"), Y44, 9999),
         IF(AND(Z32=TRUE, Z40="✅ ELIGIBLE"), Z44, 9999),
         IF(AND(AA32=TRUE, AA40="✅ ELIGIBLE"), AA44, 9999)
      ) =
      IF(AND(Y32=TRUE, Y40="✅ ELIGIBLE"), Y44, 9999), 9999,
      IF(AND(Y32=TRUE, Y40="✅ ELIGIBLE"), Y44, 9999)
   ),
   IF(
      MIN(
         IF(AND(Y32=TRUE, Y40="✅ ELIGIBLE"), Y44, 9999),
         IF(AND(Z32=TRUE, Z40="✅ ELIGIBLE"), Z44, 9999),
         IF(AND(AA32=TRUE, AA40="✅ ELIGIBLE"), AA44, 9999)
      ) =
      IF(AND(Z32=TRUE, Z40="✅ ELIGIBLE"), Z44, 9999), 9999,
      IF(AND(Z32=TRUE, Z40="✅ ELIGIBLE"), Z44, 9999)
   ),
   IF(
      MIN(
         IF(AND(Y32=TRUE, Y40="✅ ELIGIBLE"), Y44, 9999),
         IF(AND(Z32=TRUE, Z40="✅ ELIGIBLE"), Z44, 9999),
         IF(AND(AA32=TRUE, AA40="✅ ELIGIBLE"), AA44, 9999)
      ) =
      IF(AND(AA32=TRUE, AA40="✅ ELIGIBLE"), AA44, 9999), 9999,
      IF(AND(AA32=TRUE, AA40="✅ ELIGIBLE"), AA44, 9999)
   )
)</f>
        <v>1.33</v>
      </c>
    </row>
    <row r="40" spans="1:36" x14ac:dyDescent="0.25">
      <c r="A40" t="s">
        <v>78</v>
      </c>
      <c r="B40">
        <v>9</v>
      </c>
      <c r="C40" t="s">
        <v>13</v>
      </c>
      <c r="D40" t="s">
        <v>407</v>
      </c>
      <c r="E40" t="s">
        <v>408</v>
      </c>
      <c r="F40" s="1">
        <v>1.3888888888888888E-5</v>
      </c>
      <c r="G40" t="s">
        <v>16</v>
      </c>
      <c r="H40">
        <v>4</v>
      </c>
      <c r="I40">
        <v>74</v>
      </c>
      <c r="J40">
        <v>78</v>
      </c>
      <c r="L40" t="s">
        <v>17</v>
      </c>
      <c r="M40" s="3">
        <f t="shared" si="0"/>
        <v>1.2369998032227159</v>
      </c>
      <c r="T40" t="s">
        <v>679</v>
      </c>
      <c r="U40" t="str">
        <f>_xlfn.LET(
   _xlpm.symbolic, Z23,
   _xlpm.dsl_json, AA23,
   _xlpm.normal, AB23,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DSL/JSON (0.09s)</v>
      </c>
      <c r="V40" t="str">
        <f>_xlfn.LET(
   _xlpm.symbolic, AJ23,
   _xlpm.dsl_json, AK23,
   _xlpm.normal, AL23,
   _xlpm.min_value, MIN(_xlpm.symbolic, _xlpm.dsl_json, _xlpm.normal),
   _xlpm.result, IF(_xlpm.symbolic=_xlpm.min_value, "Symbolic", IF(_xlpm.dsl_json=_xlpm.min_value, "DSL/JSON", "Normal")),
   _xlpm.value_text, IF(_xlpm.symbolic=_xlpm.min_value, TEXT(_xlpm.symbolic, "0.00"),
                 IF(_xlpm.dsl_json=_xlpm.min_value, TEXT(_xlpm.dsl_json, "0.00"),
                 TEXT(_xlpm.normal, "0.00"))),
   _xlpm.tie_check, (_xlpm.symbolic=_xlpm.min_value)+(_xlpm.dsl_json=_xlpm.min_value)+(_xlpm.normal=_xlpm.min_value),
   IF(_xlpm.tie_check&gt;1, "🤝 Tie (" &amp; TEXT(_xlpm.min_value, "0.00") &amp; "s)",
                 "🏆 " &amp; _xlpm.result &amp; " (" &amp; _xlpm.value_text &amp; "s)"))</f>
        <v>🏆 Symbolic (0.14s)</v>
      </c>
      <c r="W40" t="str">
        <f>_xlfn.LET(
   _xlpm.symbolic_eligible, $Y$32,
   _xlpm.dsl_eligible, $Z$32,
   _xlpm.normal_eligible, $AA$32,
   _xlpm.symbolic_warning, $Y$36,
   _xlpm.dsl_warning, $Z$36,
   _xlpm.normal_warning, $AA$36,
   _xlpm.symbolic_w1, $P$34,
   _xlpm.symbolic_w2, $P$34,
   _xlpm.symbolic_mean, ($P$34*Z23 + $P$34*AJ23)/($P$34*2),
   _xlpm.dsl_w1, $P$34,
   _xlpm.dsl_w2, $P$34,
   _xlpm.dsl_mean, ($P$34*AA23 + $P$34*AK23)/($P$34*2),
   _xlpm.normal_w1, $P$34,
   _xlpm.normal_w2, $P$34,
   _xlpm.normal_mean, ($P$34*AB23 + $P$34*AL23)/($P$34*2),
   _xlpm.eligible_means, IF(_xlpm.symbolic_eligible, _xlpm.symbolic_mean, 999) &amp; "," &amp;
                    IF(_xlpm.dsl_eligible, _xlpm.dsl_mean, 999) &amp; "," &amp;
                    IF(_xlpm.normal_eligible, _xlpm.normal_mean, 999),
   _xlpm.fastest, MIN(IF(_xlpm.symbolic_eligible, _xlpm.symbolic_mean, 999),
                IF(_xlpm.dsl_eligible, _xlpm.dsl_mean, 999),
                IF(_xlpm.normal_eligible, _xlpm.normal_mean, 999)),
   _xlpm.tie_count, (IF(_xlpm.symbolic_eligible, IF(_xlpm.symbolic_mean=_xlpm.fastest,1,0),0)) +
              (IF(_xlpm.dsl_eligible, IF(_xlpm.dsl_mean=_xlpm.fastest,1,0),0)) +
              (IF(_xlpm.normal_eligible, IF(_xlpm.normal_mean=_xlpm.fastest,1,0),0)),
   _xlpm.value_text, IF(AND(_xlpm.symbolic_eligible, _xlpm.symbolic_mean=_xlpm.fastest), TEXT(_xlpm.symbolic_mean, "0.00"),
                 IF(AND(_xlpm.dsl_eligible, _xlpm.dsl_mean=_xlpm.fastest), TEXT(_xlpm.dsl_mean, "0.00"),
                 IF(AND(_xlpm.normal_eligible, _xlpm.normal_mean=_xlpm.fastest), TEXT(_xlpm.normal_mean, "0.00"), ""))),
   _xlpm.winner_text, IF(_xlpm.tie_count=0, "⚠️ No Eligible Formats",
                 IF(_xlpm.tie_count&gt;1, "🤝 Tie (" &amp; TEXT(_xlpm.fastest, "0.00") &amp; "s)",
                    IF(AND(_xlpm.symbolic_eligible, _xlpm.symbolic_mean=_xlpm.fastest),
                       "🏆 Symbolic" &amp; _xlpm.symbolic_warning &amp; " (" &amp; _xlpm.value_text &amp; "s)",
                       IF(AND(_xlpm.dsl_eligible, _xlpm.dsl_mean=_xlpm.fastest),
                          "🏆 DSL/JSON" &amp; _xlpm.dsl_warning &amp; " (" &amp; _xlpm.value_text &amp; "s)",
                          IF(AND(_xlpm.normal_eligible, _xlpm.normal_mean=_xlpm.fastest),
                             "🏆 Normal" &amp; _xlpm.normal_warning &amp; " (" &amp; _xlpm.value_text &amp; "s)",
                             "Error"))))),
   _xlpm.winner_text
)</f>
        <v>🏆 Normal (0.14s)</v>
      </c>
      <c r="Y40" t="str">
        <f>IF(OR(Z21="🔴 SEVERE", Z21="🚨 CRITICAL", AJ21="🔴 SEVERE", AJ21="🚨 CRITICAL"),
    "❌ DISQUALIFIED", "✅ ELIGIBLE")</f>
        <v>❌ DISQUALIFIED</v>
      </c>
      <c r="Z40" t="str">
        <f>IF(OR(AA21="🔴 SEVERE", AA21="🚨 CRITICAL", AK21="🔴 SEVERE", AK21="🚨 CRITICAL"),
    "❌ DISQUALIFIED", "✅ ELIGIBLE")</f>
        <v>✅ ELIGIBLE</v>
      </c>
      <c r="AA40" t="str">
        <f>IF(OR(AB21="🔴 SEVERE", AB21="🚨 CRITICAL", AL21="🔴 SEVERE", AL21="🚨 CRITICAL"),
    "❌ DISQUALIFIED", "✅ ELIGIBLE")</f>
        <v>✅ ELIGIBLE</v>
      </c>
      <c r="AE40" s="4"/>
      <c r="AF40" s="4"/>
      <c r="AG40" s="4"/>
      <c r="AI40" t="s">
        <v>692</v>
      </c>
      <c r="AJ40">
        <f>AJ39 - AJ37</f>
        <v>0</v>
      </c>
    </row>
    <row r="41" spans="1:36" x14ac:dyDescent="0.25">
      <c r="A41" t="s">
        <v>78</v>
      </c>
      <c r="B41">
        <v>10</v>
      </c>
      <c r="C41" t="s">
        <v>13</v>
      </c>
      <c r="D41" t="s">
        <v>409</v>
      </c>
      <c r="E41" t="s">
        <v>410</v>
      </c>
      <c r="F41" s="1">
        <v>1.6203703703703704E-5</v>
      </c>
      <c r="G41" t="s">
        <v>16</v>
      </c>
      <c r="H41">
        <v>4</v>
      </c>
      <c r="I41">
        <v>74</v>
      </c>
      <c r="J41">
        <v>78</v>
      </c>
      <c r="L41" t="s">
        <v>17</v>
      </c>
      <c r="M41" s="3">
        <f t="shared" si="0"/>
        <v>1.4380001462996006</v>
      </c>
      <c r="T41" t="s">
        <v>680</v>
      </c>
      <c r="U41" t="str">
        <f>_xlfn.LET(
   _xlpm.symbolic_mean, Z9,
   _xlpm.dsl_mean, AA9,
   _xlpm.normal_mean, AB9,
   _xlpm.symbolic_risk, Z21,
   _xlpm.dsl_risk, AA21,
   _xlpm.normal_risk, AB21,
   _xlpm.fastest_mean, MIN(_xlpm.symbolic_mean, _xlpm.dsl_mean, _xlpm.normal_mean),
   _xlpm.tie_count, (_xlpm.symbolic_mean=_xlpm.fastest_mean) + (_xlpm.dsl_mean=_xlpm.fastest_mean) + (_xlpm.normal_mean=_xlpm.fastest_mean),
   _xlpm.winner_text, IF(_xlpm.tie_count&gt;1, "🤝 Tie",
                 IF(_xlpm.symbolic_mean=_xlpm.fastest_mean,
                    "🏆 Symbolic" &amp; IF(_xlpm.symbolic_risk="🟡 MODERATE", "🟡",
                                      IF(_xlpm.symbolic_risk="🔴 SEVERE", "🔴",
                                      IF(_xlpm.symbolic_risk="🚨 CRITICAL", "🚨", ""))),
                    IF(_xlpm.dsl_mean=_xlpm.fastest_mean,
                       "🏆 DSL/JSON" &amp; IF(_xlpm.dsl_risk="🟡 MODERATE", "🟡",
                                         IF(_xlpm.dsl_risk="🔴 SEVERE", "🔴",
                                         IF(_xlpm.dsl_risk="🚨 CRITICAL", "🚨", ""))),
                       IF(_xlpm.normal_mean=_xlpm.fastest_mean,
                          "🏆 Normal" &amp; IF(_xlpm.normal_risk="🟡 MODERATE", "🟡",
                                          IF(_xlpm.normal_risk="🔴 SEVERE", "🔴",
                                          IF(_xlpm.normal_risk="🚨 CRITICAL", "🚨", ""))),
                          "Error")))),
   _xlpm.winner_text
)</f>
        <v>🏆 Normal</v>
      </c>
      <c r="V41" t="str">
        <f>_xlfn.LET(
   _xlpm.symbolic_mean, AJ9,
   _xlpm.dsl_mean, AK9,
   _xlpm.normal_mean, AL9,
   _xlpm.symbolic_risk, AJ21,
   _xlpm.dsl_risk, AK21,
   _xlpm.normal_risk, AL21,
   _xlpm.fastest_mean, MIN(_xlpm.symbolic_mean, _xlpm.dsl_mean, _xlpm.normal_mean),
   _xlpm.tie_count, (_xlpm.symbolic_mean=_xlpm.fastest_mean) + (_xlpm.dsl_mean=_xlpm.fastest_mean) + (_xlpm.normal_mean=_xlpm.fastest_mean),
   _xlpm.winner_text, IF(_xlpm.tie_count&gt;1, "🤝 Tie",
                 IF(_xlpm.symbolic_mean=_xlpm.fastest_mean,
                    "🏆 Symbolic" &amp; IF(_xlpm.symbolic_risk="🟡 MODERATE", "🟡",
                                      IF(_xlpm.symbolic_risk="🔴 SEVERE", "🔴",
                                      IF(_xlpm.symbolic_risk="🚨 CRITICAL", "🚨", ""))),
                    IF(_xlpm.dsl_mean=_xlpm.fastest_mean,
                       "🏆 DSL/JSON" &amp; IF(_xlpm.dsl_risk="🟡 MODERATE", "🟡",
                                         IF(_xlpm.dsl_risk="🔴 SEVERE", "🔴",
                                         IF(_xlpm.dsl_risk="🚨 CRITICAL", "🚨", ""))),
                       IF(_xlpm.normal_mean=_xlpm.fastest_mean,
                          "🏆 Normal" &amp; IF(_xlpm.normal_risk="🟡 MODERATE", "🟡",
                                          IF(_xlpm.normal_risk="🔴 SEVERE", "🔴",
                                          IF(_xlpm.normal_risk="🚨 CRITICAL", "🚨", ""))),
                          "Error")))),
   _xlpm.winner_text
)</f>
        <v>🏆 Normal</v>
      </c>
      <c r="W41" t="str">
        <f>_xlfn.LET(
   _xlpm.symbolic_eligible, $Y$32,
   _xlpm.dsl_eligible, $Z$32,
   _xlpm.normal_eligible, $AA$32,
   _xlpm.symbolic_warning, $Y$36,
   _xlpm.dsl_warning, $Z$36,
   _xlpm.normal_warning, $AA$36,
   _xlpm.eligible_count, _xlpm.symbolic_eligible + _xlpm.dsl_eligible + _xlpm.normal_eligible,
   _xlpm.symbolic_mean, ($P$34*Z9 + $P$34*AJ9)/($P$34*2),
   _xlpm.dsl_mean, ($P$34*AA9 + $P$34*AK9)/($P$34*2),
   _xlpm.normal_mean, ($P$34*AB9 + $P$34*AL9)/($P$34*2),
   _xlpm.fastest, MIN(IF(_xlpm.symbolic_eligible, _xlpm.symbolic_mean, 9999),
                IF(_xlpm.dsl_eligible, _xlpm.dsl_mean, 9999),
                IF(_xlpm.normal_eligible, _xlpm.normal_mean, 9999)),
   IF(_xlpm.eligible_count=0, "⚠️ No Eligible Formats",
      IF(_xlpm.eligible_count=1,
         IF(_xlpm.symbolic_eligible, "🏆 Symbolic" &amp; _xlpm.symbolic_warning,
            IF(_xlpm.dsl_eligible, "🏆 DSL/JSON" &amp; _xlpm.dsl_warning,
               "🏆 Normal" &amp; _xlpm.normal_warning)),
         IF(AND(_xlpm.symbolic_eligible, _xlpm.symbolic_mean=_xlpm.fastest), "🏆 Symbolic" &amp; _xlpm.symbolic_warning,
            IF(AND(_xlpm.dsl_eligible, _xlpm.dsl_mean=_xlpm.fastest), "🏆 DSL/JSON" &amp; _xlpm.dsl_warning,
               "🏆 Normal" &amp; _xlpm.normal_warning)))
   )
)</f>
        <v>🏆 Normal</v>
      </c>
      <c r="Z41" s="7"/>
      <c r="AE41" s="4"/>
      <c r="AF41" s="4"/>
      <c r="AG41" s="4"/>
      <c r="AI41" t="s">
        <v>693</v>
      </c>
      <c r="AJ41" t="str">
        <f>_xlfn.LET(
   _xlpm.means, Z9:AB9,
   _xlpm.min_mean, MIN(_xlpm.means),
   _xlpm.tie_count, (Z9=_xlpm.min_mean)+(AA9=_xlpm.min_mean)+(AB9=_xlpm.min_mean),
   _xlpm.winner, IF(Z9=_xlpm.min_mean, "Symbolic", IF(AA9=_xlpm.min_mean, "DSL/JSON", "Normal")),
   _xlpm.risk, IF(Z9=_xlpm.min_mean, Z24, IF(AA9=_xlpm.min_mean, AA24, AB24)),
   IF(_xlpm.tie_count&gt;1, "🤝 Tie", _xlpm.winner)
)</f>
        <v>Normal</v>
      </c>
    </row>
    <row r="42" spans="1:36" x14ac:dyDescent="0.25">
      <c r="A42" t="s">
        <v>78</v>
      </c>
      <c r="B42">
        <v>1</v>
      </c>
      <c r="C42" t="s">
        <v>36</v>
      </c>
      <c r="D42" t="s">
        <v>411</v>
      </c>
      <c r="E42" t="s">
        <v>412</v>
      </c>
      <c r="F42" s="1">
        <v>1.8518518518518518E-5</v>
      </c>
      <c r="G42" t="s">
        <v>16</v>
      </c>
      <c r="H42">
        <v>4</v>
      </c>
      <c r="I42">
        <v>150</v>
      </c>
      <c r="J42">
        <v>154</v>
      </c>
      <c r="L42" t="s">
        <v>17</v>
      </c>
      <c r="M42" s="3">
        <f t="shared" si="0"/>
        <v>1.6130004543811083</v>
      </c>
      <c r="Y42" s="24" t="s">
        <v>705</v>
      </c>
      <c r="Z42" s="24"/>
      <c r="AA42" s="24"/>
      <c r="AC42" s="24" t="s">
        <v>706</v>
      </c>
      <c r="AD42" s="24"/>
      <c r="AE42" s="24"/>
      <c r="AI42" t="s">
        <v>694</v>
      </c>
      <c r="AJ42" t="str">
        <f>_xlfn.LET(
   _xlpm.means, AJ9:AL9,
   _xlpm.min_mean, MIN(_xlpm.means),
   _xlpm.tie_count, (AJ9=_xlpm.min_mean)+(AK9=_xlpm.min_mean)+(AL9=_xlpm.min_mean),
   _xlpm.winner, IF(AJ9=_xlpm.min_mean, "Symbolic", IF(AK9=_xlpm.min_mean, "DSL/JSON", "Normal")),
   _xlpm.risk, IF(AJ9=_xlpm.min_mean, AJ24, IF(AK9=_xlpm.min_mean, AK24, AL24)),
   IF(_xlpm.tie_count&gt;1, "🤝 Tie", _xlpm.winner)
)</f>
        <v>Normal</v>
      </c>
    </row>
    <row r="43" spans="1:36" x14ac:dyDescent="0.25">
      <c r="A43" t="s">
        <v>78</v>
      </c>
      <c r="B43">
        <v>2</v>
      </c>
      <c r="C43" t="s">
        <v>36</v>
      </c>
      <c r="D43" t="s">
        <v>413</v>
      </c>
      <c r="E43" t="s">
        <v>414</v>
      </c>
      <c r="F43" s="1">
        <v>1.6203703703703704E-5</v>
      </c>
      <c r="G43" t="s">
        <v>16</v>
      </c>
      <c r="H43">
        <v>4</v>
      </c>
      <c r="I43">
        <v>150</v>
      </c>
      <c r="J43">
        <v>154</v>
      </c>
      <c r="L43" t="s">
        <v>17</v>
      </c>
      <c r="M43" s="3">
        <f t="shared" si="0"/>
        <v>1.3970000669360161</v>
      </c>
      <c r="Y43" s="21" t="s">
        <v>668</v>
      </c>
      <c r="Z43" s="21" t="s">
        <v>669</v>
      </c>
      <c r="AA43" s="21" t="s">
        <v>670</v>
      </c>
      <c r="AC43" s="21" t="s">
        <v>668</v>
      </c>
      <c r="AD43" s="21" t="s">
        <v>669</v>
      </c>
      <c r="AE43" s="21" t="s">
        <v>670</v>
      </c>
      <c r="AI43" t="s">
        <v>695</v>
      </c>
      <c r="AJ43" t="b">
        <f>AND(Y32=TRUE, Y40="✅ ELIGIBLE")</f>
        <v>0</v>
      </c>
    </row>
    <row r="44" spans="1:36" x14ac:dyDescent="0.25">
      <c r="A44" t="s">
        <v>78</v>
      </c>
      <c r="B44">
        <v>3</v>
      </c>
      <c r="C44" t="s">
        <v>36</v>
      </c>
      <c r="D44" t="s">
        <v>415</v>
      </c>
      <c r="E44" t="s">
        <v>416</v>
      </c>
      <c r="F44" s="1">
        <v>1.9675925925925925E-5</v>
      </c>
      <c r="G44" t="s">
        <v>16</v>
      </c>
      <c r="H44">
        <v>4</v>
      </c>
      <c r="I44">
        <v>150</v>
      </c>
      <c r="J44">
        <v>154</v>
      </c>
      <c r="L44" t="s">
        <v>17</v>
      </c>
      <c r="M44" s="3">
        <f t="shared" si="0"/>
        <v>1.7159997951239347</v>
      </c>
      <c r="Y44">
        <f>ROUND(($P$34*Z9+AJ9*$P$34)/($P$34*2),2)</f>
        <v>1.44</v>
      </c>
      <c r="Z44">
        <f t="shared" ref="Z44:AA44" si="27">ROUND(($P$34*AA9+AK9*$P$34)/($P$34*2),2)</f>
        <v>1.39</v>
      </c>
      <c r="AA44">
        <f t="shared" si="27"/>
        <v>1.33</v>
      </c>
      <c r="AC44" t="str">
        <f>_xlfn.LET(
    _xlpm.score, ROUND(1 - (ABS(Z9 - AJ9) / ((Z9 + AJ9) / 2)),2),
    _xlpm.clipped, MAX(0, MIN(1, _xlpm.score)),
    _xlpm.rating, IF(_xlpm.clipped &gt;= 0.95, "⭐",
              IF(_xlpm.clipped &gt;= 0.85, "✅",
                IF(_xlpm.clipped &gt;= 0.7, "⚠️", "❌"))),
    _xlpm.clipped &amp; " (" &amp; _xlpm.rating &amp; ")"
)</f>
        <v>0.94 (✅)</v>
      </c>
      <c r="AD44" t="str">
        <f>_xlfn.LET(
    _xlpm.score, ROUND(1 - (ABS(AA9 - AK9) / ((AA9 + AK9) / 2)),2),
    _xlpm.clipped, MAX(0, MIN(1, _xlpm.score)),
    _xlpm.rating, IF(_xlpm.clipped &gt;= 0.95, "⭐",
              IF(_xlpm.clipped &gt;= 0.85, "✅",
                IF(_xlpm.clipped &gt;= 0.7, "⚠️", "❌"))),
    _xlpm.clipped &amp; " (" &amp; _xlpm.rating &amp; ")"
)</f>
        <v>0.81 (⚠️)</v>
      </c>
      <c r="AE44" t="str">
        <f>_xlfn.LET(
    _xlpm.score, ROUND(1 - (ABS(AB9 - AL9) / ((AB9 + AL9) / 2)),2),
    _xlpm.clipped, MAX(0, MIN(1, _xlpm.score)),
    _xlpm.rating, IF(_xlpm.clipped &gt;= 0.95, "⭐",
              IF(_xlpm.clipped &gt;= 0.85, "✅",
                IF(_xlpm.clipped &gt;= 0.7, "⚠️", "❌"))),
    _xlpm.clipped &amp; " (" &amp; _xlpm.rating &amp; ")"
)</f>
        <v>0.83 (⚠️)</v>
      </c>
      <c r="AI44" t="s">
        <v>696</v>
      </c>
      <c r="AJ44" t="b">
        <f>AND(Z32=TRUE, Z40="✅ ELIGIBLE")</f>
        <v>1</v>
      </c>
    </row>
    <row r="45" spans="1:36" x14ac:dyDescent="0.25">
      <c r="A45" t="s">
        <v>78</v>
      </c>
      <c r="B45">
        <v>4</v>
      </c>
      <c r="C45" t="s">
        <v>36</v>
      </c>
      <c r="D45" t="s">
        <v>417</v>
      </c>
      <c r="E45" t="s">
        <v>418</v>
      </c>
      <c r="F45" s="1">
        <v>1.8518518518518518E-5</v>
      </c>
      <c r="G45" t="s">
        <v>16</v>
      </c>
      <c r="H45">
        <v>4</v>
      </c>
      <c r="I45">
        <v>150</v>
      </c>
      <c r="J45">
        <v>154</v>
      </c>
      <c r="L45" t="s">
        <v>17</v>
      </c>
      <c r="M45" s="3">
        <f t="shared" si="0"/>
        <v>1.6320005524903536</v>
      </c>
      <c r="AI45" t="s">
        <v>697</v>
      </c>
      <c r="AJ45" t="b">
        <f>AND(AA32=TRUE, AA40="✅ ELIGIBLE")</f>
        <v>1</v>
      </c>
    </row>
    <row r="46" spans="1:36" x14ac:dyDescent="0.25">
      <c r="A46" t="s">
        <v>78</v>
      </c>
      <c r="B46">
        <v>5</v>
      </c>
      <c r="C46" t="s">
        <v>36</v>
      </c>
      <c r="D46" t="s">
        <v>419</v>
      </c>
      <c r="E46" t="s">
        <v>420</v>
      </c>
      <c r="F46" s="1">
        <v>1.7361111111111111E-5</v>
      </c>
      <c r="G46" t="s">
        <v>16</v>
      </c>
      <c r="H46">
        <v>4</v>
      </c>
      <c r="I46">
        <v>150</v>
      </c>
      <c r="J46">
        <v>154</v>
      </c>
      <c r="L46" t="s">
        <v>17</v>
      </c>
      <c r="M46" s="3">
        <f t="shared" si="0"/>
        <v>1.4799997676163912</v>
      </c>
      <c r="AI46" t="s">
        <v>698</v>
      </c>
      <c r="AJ46" t="str">
        <f>IF(AND(AJ43=TRUE, OR(Z21="🟡 MODERATE", AJ21="🟡 MODERATE")), "⚠️", "")</f>
        <v/>
      </c>
    </row>
    <row r="47" spans="1:36" x14ac:dyDescent="0.25">
      <c r="A47" t="s">
        <v>78</v>
      </c>
      <c r="B47">
        <v>6</v>
      </c>
      <c r="C47" t="s">
        <v>36</v>
      </c>
      <c r="D47" t="s">
        <v>421</v>
      </c>
      <c r="E47" t="s">
        <v>422</v>
      </c>
      <c r="F47" s="1">
        <v>1.8518518518518518E-5</v>
      </c>
      <c r="G47" t="s">
        <v>16</v>
      </c>
      <c r="H47">
        <v>4</v>
      </c>
      <c r="I47">
        <v>150</v>
      </c>
      <c r="J47">
        <v>154</v>
      </c>
      <c r="L47" t="s">
        <v>17</v>
      </c>
      <c r="M47" s="3">
        <f t="shared" si="0"/>
        <v>1.5630000969395041</v>
      </c>
      <c r="AI47" t="s">
        <v>699</v>
      </c>
      <c r="AJ47" t="str">
        <f>IF(AND(AJ44=TRUE, OR(AA21="🟡 MODERATE", AK21="🟡 MODERATE")), "⚠️", "")</f>
        <v/>
      </c>
    </row>
    <row r="48" spans="1:36" x14ac:dyDescent="0.25">
      <c r="A48" t="s">
        <v>78</v>
      </c>
      <c r="B48">
        <v>7</v>
      </c>
      <c r="C48" t="s">
        <v>36</v>
      </c>
      <c r="D48" t="s">
        <v>423</v>
      </c>
      <c r="E48" t="s">
        <v>424</v>
      </c>
      <c r="F48" s="1">
        <v>1.5046296296296297E-5</v>
      </c>
      <c r="G48" t="s">
        <v>16</v>
      </c>
      <c r="H48">
        <v>4</v>
      </c>
      <c r="I48">
        <v>150</v>
      </c>
      <c r="J48">
        <v>154</v>
      </c>
      <c r="L48" t="s">
        <v>17</v>
      </c>
      <c r="M48" s="3">
        <f t="shared" si="0"/>
        <v>1.3340000063180923</v>
      </c>
      <c r="AI48" t="s">
        <v>700</v>
      </c>
      <c r="AJ48" t="str">
        <f>IF(AND(AJ45=TRUE, OR(AB21="🟡 MODERATE", AL21="🟡 MODERATE")), "⚠️", "")</f>
        <v/>
      </c>
    </row>
    <row r="49" spans="1:36" x14ac:dyDescent="0.25">
      <c r="A49" t="s">
        <v>78</v>
      </c>
      <c r="B49">
        <v>8</v>
      </c>
      <c r="C49" t="s">
        <v>36</v>
      </c>
      <c r="D49" t="s">
        <v>425</v>
      </c>
      <c r="E49" t="s">
        <v>426</v>
      </c>
      <c r="F49" s="1">
        <v>1.5046296296296297E-5</v>
      </c>
      <c r="G49" t="s">
        <v>16</v>
      </c>
      <c r="H49">
        <v>4</v>
      </c>
      <c r="I49">
        <v>150</v>
      </c>
      <c r="J49">
        <v>154</v>
      </c>
      <c r="L49" t="s">
        <v>17</v>
      </c>
      <c r="M49" s="3">
        <f t="shared" si="0"/>
        <v>1.3280002400279045</v>
      </c>
      <c r="AI49" t="s">
        <v>701</v>
      </c>
      <c r="AJ49" t="b" cm="1">
        <f t="array" ref="AJ49">AND(OR(AND(Z21="🔴 SEVERE", AJ21="🟡 MODERATE"),
        AND(Z21="🟡 MODERATE", AJ21="🔴 SEVERE")),
     Y44 = MIN(IF(Y40:AA40="✅ ELIGIBLE", Y44:AA44, 9999)))</f>
        <v>0</v>
      </c>
    </row>
    <row r="50" spans="1:36" x14ac:dyDescent="0.25">
      <c r="A50" t="s">
        <v>78</v>
      </c>
      <c r="B50">
        <v>9</v>
      </c>
      <c r="C50" t="s">
        <v>36</v>
      </c>
      <c r="D50" t="s">
        <v>427</v>
      </c>
      <c r="E50" t="s">
        <v>428</v>
      </c>
      <c r="F50" s="1">
        <v>1.3888888888888888E-5</v>
      </c>
      <c r="G50" t="s">
        <v>16</v>
      </c>
      <c r="H50">
        <v>4</v>
      </c>
      <c r="I50">
        <v>150</v>
      </c>
      <c r="J50">
        <v>154</v>
      </c>
      <c r="L50" t="s">
        <v>17</v>
      </c>
      <c r="M50" s="3">
        <f t="shared" si="0"/>
        <v>1.2379999738186598</v>
      </c>
      <c r="AI50" t="s">
        <v>702</v>
      </c>
      <c r="AJ50" t="b" cm="1">
        <f t="array" ref="AJ50">AND(OR(AND(AA21="🔴 SEVERE", AK21="🟡 MODERATE"),
        AND(AA21="🟡 MODERATE", AK21="🔴 SEVERE")),
     Z44 = MIN(IF(Y40:AA40="✅ ELIGIBLE", Y44:AA44, 9999)))</f>
        <v>0</v>
      </c>
    </row>
    <row r="51" spans="1:36" x14ac:dyDescent="0.25">
      <c r="A51" t="s">
        <v>78</v>
      </c>
      <c r="B51">
        <v>10</v>
      </c>
      <c r="C51" t="s">
        <v>36</v>
      </c>
      <c r="D51" t="s">
        <v>429</v>
      </c>
      <c r="E51" t="s">
        <v>430</v>
      </c>
      <c r="F51" s="1">
        <v>1.5046296296296297E-5</v>
      </c>
      <c r="G51" t="s">
        <v>16</v>
      </c>
      <c r="H51">
        <v>4</v>
      </c>
      <c r="I51">
        <v>150</v>
      </c>
      <c r="J51">
        <v>154</v>
      </c>
      <c r="L51" t="s">
        <v>17</v>
      </c>
      <c r="M51" s="3">
        <f t="shared" si="0"/>
        <v>1.2589997844770551</v>
      </c>
      <c r="AI51" t="s">
        <v>703</v>
      </c>
      <c r="AJ51" t="b" cm="1">
        <f t="array" ref="AJ51">AND(OR(AND(AB21="🔴 SEVERE", AL21="🟡 MODERATE"),
        AND(AB21="🟡 MODERATE", AL21="🔴 SEVERE")),
     AA44 = MIN(IF(Y40:AA40="✅ ELIGIBLE", Y44:AA44, 9999)))</f>
        <v>0</v>
      </c>
    </row>
    <row r="52" spans="1:36" x14ac:dyDescent="0.25">
      <c r="A52" t="s">
        <v>78</v>
      </c>
      <c r="B52">
        <v>1</v>
      </c>
      <c r="C52" t="s">
        <v>57</v>
      </c>
      <c r="D52" t="s">
        <v>431</v>
      </c>
      <c r="E52" t="s">
        <v>432</v>
      </c>
      <c r="F52" s="1">
        <v>2.199074074074074E-5</v>
      </c>
      <c r="G52" t="s">
        <v>16</v>
      </c>
      <c r="H52">
        <v>4</v>
      </c>
      <c r="I52">
        <v>104</v>
      </c>
      <c r="J52">
        <v>108</v>
      </c>
      <c r="L52" t="s">
        <v>17</v>
      </c>
      <c r="M52" s="3">
        <f t="shared" si="0"/>
        <v>1.8549996195361018</v>
      </c>
    </row>
    <row r="53" spans="1:36" x14ac:dyDescent="0.25">
      <c r="A53" t="s">
        <v>78</v>
      </c>
      <c r="B53">
        <v>2</v>
      </c>
      <c r="C53" t="s">
        <v>57</v>
      </c>
      <c r="D53" t="s">
        <v>433</v>
      </c>
      <c r="E53" t="s">
        <v>434</v>
      </c>
      <c r="F53" s="1">
        <v>1.9675925925925925E-5</v>
      </c>
      <c r="G53" t="s">
        <v>16</v>
      </c>
      <c r="H53">
        <v>4</v>
      </c>
      <c r="I53">
        <v>104</v>
      </c>
      <c r="J53">
        <v>108</v>
      </c>
      <c r="L53" t="s">
        <v>17</v>
      </c>
      <c r="M53" s="3">
        <f t="shared" si="0"/>
        <v>1.6999995801597834</v>
      </c>
      <c r="AI53" t="s">
        <v>707</v>
      </c>
      <c r="AJ53">
        <f>_xlfn.LET(
    _xlpm.sym_eligible, Y32,
    _xlpm.dsl_eligible, Z32,
    _xlpm.norm_eligible, AA32,
    (_xlpm.sym_eligible*1) + (_xlpm.dsl_eligible*1) + (_xlpm.norm_eligible*1)
)</f>
        <v>2</v>
      </c>
    </row>
    <row r="54" spans="1:36" x14ac:dyDescent="0.25">
      <c r="A54" t="s">
        <v>78</v>
      </c>
      <c r="B54">
        <v>3</v>
      </c>
      <c r="C54" t="s">
        <v>57</v>
      </c>
      <c r="D54" t="s">
        <v>435</v>
      </c>
      <c r="E54" t="s">
        <v>436</v>
      </c>
      <c r="F54" s="1">
        <v>1.2731481481481482E-5</v>
      </c>
      <c r="G54" t="s">
        <v>16</v>
      </c>
      <c r="H54">
        <v>4</v>
      </c>
      <c r="I54">
        <v>104</v>
      </c>
      <c r="J54">
        <v>108</v>
      </c>
      <c r="L54" t="s">
        <v>17</v>
      </c>
      <c r="M54" s="3">
        <f t="shared" si="0"/>
        <v>1.1189997894689441</v>
      </c>
      <c r="AI54" t="s">
        <v>708</v>
      </c>
      <c r="AJ54">
        <f>_xlfn.LET(
    _xlpm.sym_mean, Y44, _xlpm.sym_eligible, Y32,
    _xlpm.dsl_mean, Z44, _xlpm.dsl_eligible, Z32,
    _xlpm.norm_mean, AA44, _xlpm.norm_eligible, AA32,
    MIN(IF(_xlpm.sym_eligible, _xlpm.sym_mean, 9999), IF(_xlpm.dsl_eligible, _xlpm.dsl_mean, 9999), IF(_xlpm.norm_eligible, _xlpm.norm_mean, 9999))
)</f>
        <v>1.33</v>
      </c>
    </row>
    <row r="55" spans="1:36" x14ac:dyDescent="0.25">
      <c r="A55" t="s">
        <v>78</v>
      </c>
      <c r="B55">
        <v>4</v>
      </c>
      <c r="C55" t="s">
        <v>57</v>
      </c>
      <c r="D55" t="s">
        <v>437</v>
      </c>
      <c r="E55" t="s">
        <v>438</v>
      </c>
      <c r="F55" s="1">
        <v>1.5046296296296297E-5</v>
      </c>
      <c r="G55" t="s">
        <v>16</v>
      </c>
      <c r="H55">
        <v>4</v>
      </c>
      <c r="I55">
        <v>104</v>
      </c>
      <c r="J55">
        <v>108</v>
      </c>
      <c r="L55" t="s">
        <v>17</v>
      </c>
      <c r="M55" s="3">
        <f t="shared" si="0"/>
        <v>1.2669998919591308</v>
      </c>
      <c r="AI55" t="s">
        <v>690</v>
      </c>
      <c r="AJ55">
        <f>ROUND(AI34 * 0.05, 2)</f>
        <v>0</v>
      </c>
    </row>
    <row r="56" spans="1:36" x14ac:dyDescent="0.25">
      <c r="A56" t="s">
        <v>78</v>
      </c>
      <c r="B56">
        <v>5</v>
      </c>
      <c r="C56" t="s">
        <v>57</v>
      </c>
      <c r="D56" t="s">
        <v>439</v>
      </c>
      <c r="E56" t="s">
        <v>440</v>
      </c>
      <c r="F56" s="1">
        <v>1.7361111111111111E-5</v>
      </c>
      <c r="G56" t="s">
        <v>16</v>
      </c>
      <c r="H56">
        <v>4</v>
      </c>
      <c r="I56">
        <v>104</v>
      </c>
      <c r="J56">
        <v>108</v>
      </c>
      <c r="L56" t="s">
        <v>17</v>
      </c>
      <c r="M56" s="3">
        <f t="shared" si="0"/>
        <v>1.4610002981498837</v>
      </c>
      <c r="AI56" t="s">
        <v>709</v>
      </c>
      <c r="AJ56" t="str">
        <f>_xlfn.LET(
    _xlpm.sym_eligible, Y32, _xlpm.sym_risk_m3, Z21,
    _xlpm.dsl_eligible, Z32, _xlpm.dsl_risk_m3, AA21,
    _xlpm.norm_eligible, AA32, _xlpm.norm_risk_m3, AB21,
    IF(NOT(_xlpm.sym_eligible), "❌ Symbolic disqualified (" &amp; _xlpm.sym_risk_m3 &amp; " on Mar 3)&lt;br&gt;", "") &amp;
    IF(NOT(_xlpm.dsl_eligible), "❌ DSL/JSON disqualified (" &amp; _xlpm.dsl_risk_m3 &amp; " on Mar 3)&lt;br&gt;", "") &amp;
    IF(NOT(_xlpm.norm_eligible), "❌ Normal disqualified (" &amp; _xlpm.norm_risk_m3 &amp; " on Mar 3)&lt;br&gt;", "")
)</f>
        <v>❌ Symbolic disqualified (🔴 SEVERE on Mar 3)&lt;br&gt;</v>
      </c>
    </row>
    <row r="57" spans="1:36" x14ac:dyDescent="0.25">
      <c r="A57" t="s">
        <v>78</v>
      </c>
      <c r="B57">
        <v>6</v>
      </c>
      <c r="C57" t="s">
        <v>57</v>
      </c>
      <c r="D57" t="s">
        <v>441</v>
      </c>
      <c r="E57" t="s">
        <v>442</v>
      </c>
      <c r="F57" s="1">
        <v>1.6203703703703704E-5</v>
      </c>
      <c r="G57" t="s">
        <v>16</v>
      </c>
      <c r="H57">
        <v>4</v>
      </c>
      <c r="I57">
        <v>104</v>
      </c>
      <c r="J57">
        <v>108</v>
      </c>
      <c r="L57" t="s">
        <v>17</v>
      </c>
      <c r="M57" s="3">
        <f t="shared" si="0"/>
        <v>1.3619997538626194</v>
      </c>
      <c r="AI57" t="s">
        <v>710</v>
      </c>
      <c r="AJ57" t="str">
        <f>_xlfn.LET(
    _xlpm.sym_mean, Y44, _xlpm.sym_stability, AC44, _xlpm.sym_risk_m3, Z21, _xlpm.sym_risk_m5, AJ21,
    _xlpm.dsl_mean, Z44, _xlpm.dsl_stability, AD44, _xlpm.dsl_risk_m3, AA21, _xlpm.dsl_risk_m5, AK21,
    _xlpm.norm_mean, AA44, _xlpm.norm_stability, AE44, _xlpm.norm_risk_m3, AB21, _xlpm.norm_risk_m5, AL21,
    _xlpm.threshold, AJ55, _xlpm.notes, AJ56,
    _xlpm.min_mean, MIN(_xlpm.sym_mean, _xlpm.dsl_mean, _xlpm.norm_mean),
    _xlpm.tie_count, (_xlpm.sym_mean=_xlpm.min_mean)+(_xlpm.dsl_mean=_xlpm.min_mean)+(_xlpm.norm_mean=_xlpm.min_mean),
    _xlpm.all_tied, AND(ABS(_xlpm.sym_mean-_xlpm.dsl_mean)&lt;_xlpm.threshold, ABS(_xlpm.sym_mean-_xlpm.norm_mean)&lt;_xlpm.threshold, ABS(_xlpm.dsl_mean-_xlpm.norm_mean)&lt;_xlpm.threshold),
    IF(_xlpm.tie_count&gt;1,
        IF(_xlpm.all_tied,
            IF(AND(_xlpm.sym_stability&gt;=_xlpm.dsl_stability, _xlpm.sym_stability&gt;=_xlpm.norm_stability),
                "🏆 Symbolic" &amp; IF(OR(_xlpm.sym_risk_m3="🟡 MODERATE", _xlpm.sym_risk_m5="🟡 MODERATE"), "⚠️", "") &amp; " Conditional Winner (" &amp; TEXT(_xlpm.sym_mean,"0.00") &amp; "s)&lt;br&gt;&lt;sup&gt;⚖️ Three-way statistical tie | Symbolic wins on stability&lt;br&gt;" &amp; _xlpm.notes &amp; "&lt;/sup&gt;",
            IF(AND(_xlpm.dsl_stability&gt;=_xlpm.sym_stability, _xlpm.dsl_stability&gt;=_xlpm.norm_stability),
                "🏆 DSL/JSON" &amp; IF(OR(_xlpm.dsl_risk_m3="🟡 MODERATE", _xlpm.dsl_risk_m5="🟡 MODERATE"), "⚠️", "") &amp; " Conditional Winner (" &amp; TEXT(_xlpm.dsl_mean,"0.00") &amp; "s)&lt;br&gt;&lt;sup&gt;⚖️ Three-way statistical tie | DSL/JSON wins on stability&lt;br&gt;" &amp; _xlpm.notes &amp; "&lt;/sup&gt;",
                "🏆 Normal" &amp; IF(OR(_xlpm.norm_risk_m3="🟡 MODERATE", _xlpm.norm_risk_m5="🟡 MODERATE"), "⚠️", "") &amp; " Conditional Winner (" &amp; TEXT(_xlpm.norm_mean,"0.00") &amp; "s)&lt;br&gt;&lt;sup&gt;⚖️ Three-way statistical tie | Normal wins on stability&lt;br&gt;" &amp; _xlpm.notes &amp; "&lt;/sup&gt;")),
            "🏆 Need complex tie resolution"),
        IF(_xlpm.sym_mean=_xlpm.min_mean,
            "🏆 Symbolic" &amp; IF(OR(_xlpm.sym_risk_m3="🟡 MODERATE", _xlpm.sym_risk_m5="🟡 MODERATE"), "⚠️", "") &amp; " (" &amp; TEXT(_xlpm.sym_mean,"0.00") &amp; "s)&lt;br&gt;&lt;sup&gt;" &amp; _xlpm.notes &amp; "&lt;/sup&gt;",
        IF(_xlpm.dsl_mean=_xlpm.min_mean,
            "🏆 DSL/JSON" &amp; IF(OR(_xlpm.dsl_risk_m3="🟡 MODERATE", _xlpm.dsl_risk_m5="🟡 MODERATE"), "⚠️", "") &amp; " (" &amp; TEXT(_xlpm.dsl_mean,"0.00") &amp; "s)&lt;br&gt;&lt;sup&gt;" &amp; _xlpm.notes &amp; "&lt;/sup&gt;",
            "🏆 Normal" &amp; IF(OR(_xlpm.norm_risk_m3="🟡 MODERATE", _xlpm.norm_risk_m5="🟡 MODERATE"), "⚠️", "") &amp; " (" &amp; TEXT(_xlpm.norm_mean,"0.00") &amp; "s)&lt;br&gt;&lt;sup&gt;" &amp; _xlpm.notes &amp; "&lt;/sup&gt;")))
)</f>
        <v>🏆 Normal (1.33s)&lt;br&gt;&lt;sup&gt;❌ Symbolic disqualified (🔴 SEVERE on Mar 3)&lt;br&gt;&lt;/sup&gt;</v>
      </c>
    </row>
    <row r="58" spans="1:36" x14ac:dyDescent="0.25">
      <c r="A58" t="s">
        <v>78</v>
      </c>
      <c r="B58">
        <v>7</v>
      </c>
      <c r="C58" t="s">
        <v>57</v>
      </c>
      <c r="D58" t="s">
        <v>443</v>
      </c>
      <c r="E58" t="s">
        <v>444</v>
      </c>
      <c r="F58" s="1">
        <v>1.5046296296296297E-5</v>
      </c>
      <c r="G58" t="s">
        <v>16</v>
      </c>
      <c r="H58">
        <v>4</v>
      </c>
      <c r="I58">
        <v>104</v>
      </c>
      <c r="J58">
        <v>108</v>
      </c>
      <c r="L58" t="s">
        <v>17</v>
      </c>
      <c r="M58" s="3">
        <f t="shared" si="0"/>
        <v>1.2990003218874335</v>
      </c>
    </row>
    <row r="59" spans="1:36" x14ac:dyDescent="0.25">
      <c r="A59" t="s">
        <v>78</v>
      </c>
      <c r="B59">
        <v>8</v>
      </c>
      <c r="C59" t="s">
        <v>57</v>
      </c>
      <c r="D59" t="s">
        <v>445</v>
      </c>
      <c r="E59" t="s">
        <v>446</v>
      </c>
      <c r="F59" s="1">
        <v>1.6203703703703704E-5</v>
      </c>
      <c r="G59" t="s">
        <v>16</v>
      </c>
      <c r="H59">
        <v>4</v>
      </c>
      <c r="I59">
        <v>104</v>
      </c>
      <c r="J59">
        <v>108</v>
      </c>
      <c r="L59" t="s">
        <v>17</v>
      </c>
      <c r="M59" s="3">
        <f t="shared" si="0"/>
        <v>1.3790001394227147</v>
      </c>
    </row>
    <row r="60" spans="1:36" x14ac:dyDescent="0.25">
      <c r="A60" t="s">
        <v>78</v>
      </c>
      <c r="B60">
        <v>9</v>
      </c>
      <c r="C60" t="s">
        <v>57</v>
      </c>
      <c r="D60" t="s">
        <v>447</v>
      </c>
      <c r="E60" t="s">
        <v>448</v>
      </c>
      <c r="F60" s="1">
        <v>1.6203703703703704E-5</v>
      </c>
      <c r="G60" t="s">
        <v>16</v>
      </c>
      <c r="H60">
        <v>4</v>
      </c>
      <c r="I60">
        <v>104</v>
      </c>
      <c r="J60">
        <v>108</v>
      </c>
      <c r="L60" t="s">
        <v>17</v>
      </c>
      <c r="M60" s="3">
        <f t="shared" si="0"/>
        <v>1.4129996532574296</v>
      </c>
    </row>
    <row r="61" spans="1:36" x14ac:dyDescent="0.25">
      <c r="A61" t="s">
        <v>78</v>
      </c>
      <c r="B61">
        <v>10</v>
      </c>
      <c r="C61" t="s">
        <v>57</v>
      </c>
      <c r="D61" t="s">
        <v>449</v>
      </c>
      <c r="E61" t="s">
        <v>450</v>
      </c>
      <c r="F61" s="1">
        <v>1.3888888888888888E-5</v>
      </c>
      <c r="G61" t="s">
        <v>16</v>
      </c>
      <c r="H61">
        <v>4</v>
      </c>
      <c r="I61">
        <v>104</v>
      </c>
      <c r="J61">
        <v>108</v>
      </c>
      <c r="L61" t="s">
        <v>17</v>
      </c>
      <c r="M61" s="3">
        <f t="shared" si="0"/>
        <v>1.2119999388232827</v>
      </c>
    </row>
    <row r="62" spans="1:36" x14ac:dyDescent="0.25">
      <c r="A62" t="s">
        <v>139</v>
      </c>
      <c r="B62">
        <v>1</v>
      </c>
      <c r="C62" t="s">
        <v>13</v>
      </c>
      <c r="D62" t="s">
        <v>451</v>
      </c>
      <c r="E62" t="s">
        <v>452</v>
      </c>
      <c r="F62" s="1">
        <v>1.5046296296296297E-5</v>
      </c>
      <c r="G62" t="s">
        <v>16</v>
      </c>
      <c r="H62">
        <v>2</v>
      </c>
      <c r="I62">
        <v>67</v>
      </c>
      <c r="J62">
        <v>69</v>
      </c>
      <c r="L62" t="s">
        <v>17</v>
      </c>
      <c r="M62" s="3">
        <f t="shared" si="0"/>
        <v>1.3000004924833775</v>
      </c>
    </row>
    <row r="63" spans="1:36" x14ac:dyDescent="0.25">
      <c r="A63" t="s">
        <v>139</v>
      </c>
      <c r="B63">
        <v>2</v>
      </c>
      <c r="C63" t="s">
        <v>13</v>
      </c>
      <c r="D63" t="s">
        <v>453</v>
      </c>
      <c r="E63" t="s">
        <v>454</v>
      </c>
      <c r="F63" s="1">
        <v>1.2731481481481482E-5</v>
      </c>
      <c r="G63" t="s">
        <v>16</v>
      </c>
      <c r="H63">
        <v>2</v>
      </c>
      <c r="I63">
        <v>67</v>
      </c>
      <c r="J63">
        <v>69</v>
      </c>
      <c r="L63" t="s">
        <v>17</v>
      </c>
      <c r="M63" s="3">
        <f t="shared" si="0"/>
        <v>1.1350000044330955</v>
      </c>
    </row>
    <row r="64" spans="1:36" x14ac:dyDescent="0.25">
      <c r="A64" t="s">
        <v>139</v>
      </c>
      <c r="B64">
        <v>3</v>
      </c>
      <c r="C64" t="s">
        <v>13</v>
      </c>
      <c r="D64" t="s">
        <v>455</v>
      </c>
      <c r="E64" t="s">
        <v>456</v>
      </c>
      <c r="F64" s="1">
        <v>2.0833333333333333E-5</v>
      </c>
      <c r="G64" t="s">
        <v>16</v>
      </c>
      <c r="H64">
        <v>2</v>
      </c>
      <c r="I64">
        <v>67</v>
      </c>
      <c r="J64">
        <v>69</v>
      </c>
      <c r="L64" t="s">
        <v>17</v>
      </c>
      <c r="M64" s="3">
        <f t="shared" si="0"/>
        <v>1.0789998807013035</v>
      </c>
    </row>
    <row r="65" spans="1:13" x14ac:dyDescent="0.25">
      <c r="A65" t="s">
        <v>139</v>
      </c>
      <c r="B65">
        <v>4</v>
      </c>
      <c r="C65" t="s">
        <v>13</v>
      </c>
      <c r="D65" t="s">
        <v>457</v>
      </c>
      <c r="E65" t="s">
        <v>458</v>
      </c>
      <c r="F65" s="1">
        <v>1.3888888888888888E-5</v>
      </c>
      <c r="G65" t="s">
        <v>16</v>
      </c>
      <c r="H65">
        <v>2</v>
      </c>
      <c r="I65">
        <v>67</v>
      </c>
      <c r="J65">
        <v>69</v>
      </c>
      <c r="L65" t="s">
        <v>17</v>
      </c>
      <c r="M65" s="3">
        <f t="shared" si="0"/>
        <v>1.1720000300556421</v>
      </c>
    </row>
    <row r="66" spans="1:13" x14ac:dyDescent="0.25">
      <c r="A66" t="s">
        <v>139</v>
      </c>
      <c r="B66">
        <v>5</v>
      </c>
      <c r="C66" t="s">
        <v>13</v>
      </c>
      <c r="D66" t="s">
        <v>459</v>
      </c>
      <c r="E66" t="s">
        <v>460</v>
      </c>
      <c r="F66" s="1">
        <v>1.5046296296296297E-5</v>
      </c>
      <c r="G66" t="s">
        <v>16</v>
      </c>
      <c r="H66">
        <v>2</v>
      </c>
      <c r="I66">
        <v>67</v>
      </c>
      <c r="J66">
        <v>69</v>
      </c>
      <c r="L66" t="s">
        <v>17</v>
      </c>
      <c r="M66" s="3">
        <f t="shared" si="0"/>
        <v>1.2540001887828112</v>
      </c>
    </row>
    <row r="67" spans="1:13" x14ac:dyDescent="0.25">
      <c r="A67" t="s">
        <v>139</v>
      </c>
      <c r="B67">
        <v>6</v>
      </c>
      <c r="C67" t="s">
        <v>13</v>
      </c>
      <c r="D67" t="s">
        <v>461</v>
      </c>
      <c r="E67" t="s">
        <v>462</v>
      </c>
      <c r="F67" s="1">
        <v>1.2731481481481482E-5</v>
      </c>
      <c r="G67" t="s">
        <v>16</v>
      </c>
      <c r="H67">
        <v>2</v>
      </c>
      <c r="I67">
        <v>67</v>
      </c>
      <c r="J67">
        <v>69</v>
      </c>
      <c r="L67" t="s">
        <v>17</v>
      </c>
      <c r="M67" s="3">
        <f t="shared" ref="M67:M130" si="28">(SUBSTITUTE(LEFT(E67,23),"T"," ")-SUBSTITUTE(LEFT(D67,23),"T"," "))*86400</f>
        <v>1.0140001075342298</v>
      </c>
    </row>
    <row r="68" spans="1:13" x14ac:dyDescent="0.25">
      <c r="A68" t="s">
        <v>139</v>
      </c>
      <c r="B68">
        <v>7</v>
      </c>
      <c r="C68" t="s">
        <v>13</v>
      </c>
      <c r="D68" t="s">
        <v>463</v>
      </c>
      <c r="E68" t="s">
        <v>464</v>
      </c>
      <c r="F68" s="1">
        <v>1.5046296296296297E-5</v>
      </c>
      <c r="G68" t="s">
        <v>16</v>
      </c>
      <c r="H68">
        <v>2</v>
      </c>
      <c r="I68">
        <v>67</v>
      </c>
      <c r="J68">
        <v>69</v>
      </c>
      <c r="L68" t="s">
        <v>17</v>
      </c>
      <c r="M68" s="3">
        <f t="shared" si="28"/>
        <v>1.2680000625550747</v>
      </c>
    </row>
    <row r="69" spans="1:13" x14ac:dyDescent="0.25">
      <c r="A69" t="s">
        <v>139</v>
      </c>
      <c r="B69">
        <v>8</v>
      </c>
      <c r="C69" t="s">
        <v>13</v>
      </c>
      <c r="D69" t="s">
        <v>465</v>
      </c>
      <c r="E69" t="s">
        <v>466</v>
      </c>
      <c r="F69" s="1">
        <v>1.5046296296296297E-5</v>
      </c>
      <c r="G69" t="s">
        <v>16</v>
      </c>
      <c r="H69">
        <v>2</v>
      </c>
      <c r="I69">
        <v>67</v>
      </c>
      <c r="J69">
        <v>69</v>
      </c>
      <c r="L69" t="s">
        <v>17</v>
      </c>
      <c r="M69" s="3">
        <f t="shared" si="28"/>
        <v>1.3259998988360167</v>
      </c>
    </row>
    <row r="70" spans="1:13" x14ac:dyDescent="0.25">
      <c r="A70" t="s">
        <v>139</v>
      </c>
      <c r="B70">
        <v>9</v>
      </c>
      <c r="C70" t="s">
        <v>13</v>
      </c>
      <c r="D70" t="s">
        <v>467</v>
      </c>
      <c r="E70" t="s">
        <v>468</v>
      </c>
      <c r="F70" s="1">
        <v>1.3888888888888888E-5</v>
      </c>
      <c r="G70" t="s">
        <v>16</v>
      </c>
      <c r="H70">
        <v>2</v>
      </c>
      <c r="I70">
        <v>67</v>
      </c>
      <c r="J70">
        <v>69</v>
      </c>
      <c r="L70" t="s">
        <v>17</v>
      </c>
      <c r="M70" s="3">
        <f t="shared" si="28"/>
        <v>1.2390001444146037</v>
      </c>
    </row>
    <row r="71" spans="1:13" x14ac:dyDescent="0.25">
      <c r="A71" t="s">
        <v>139</v>
      </c>
      <c r="B71">
        <v>10</v>
      </c>
      <c r="C71" t="s">
        <v>13</v>
      </c>
      <c r="D71" t="s">
        <v>469</v>
      </c>
      <c r="E71" t="s">
        <v>470</v>
      </c>
      <c r="F71" s="1">
        <v>1.3888888888888888E-5</v>
      </c>
      <c r="G71" t="s">
        <v>16</v>
      </c>
      <c r="H71">
        <v>2</v>
      </c>
      <c r="I71">
        <v>67</v>
      </c>
      <c r="J71">
        <v>69</v>
      </c>
      <c r="L71" t="s">
        <v>17</v>
      </c>
      <c r="M71" s="3">
        <f t="shared" si="28"/>
        <v>1.1610000394284725</v>
      </c>
    </row>
    <row r="72" spans="1:13" x14ac:dyDescent="0.25">
      <c r="A72" t="s">
        <v>139</v>
      </c>
      <c r="B72">
        <v>1</v>
      </c>
      <c r="C72" t="s">
        <v>36</v>
      </c>
      <c r="D72" t="s">
        <v>471</v>
      </c>
      <c r="E72" t="s">
        <v>472</v>
      </c>
      <c r="F72" s="1">
        <v>1.5046296296296297E-5</v>
      </c>
      <c r="G72" t="s">
        <v>16</v>
      </c>
      <c r="H72">
        <v>2</v>
      </c>
      <c r="I72">
        <v>161</v>
      </c>
      <c r="J72">
        <v>163</v>
      </c>
      <c r="L72" t="s">
        <v>17</v>
      </c>
      <c r="M72" s="3">
        <f t="shared" si="28"/>
        <v>1.3340000063180923</v>
      </c>
    </row>
    <row r="73" spans="1:13" x14ac:dyDescent="0.25">
      <c r="A73" t="s">
        <v>139</v>
      </c>
      <c r="B73">
        <v>2</v>
      </c>
      <c r="C73" t="s">
        <v>36</v>
      </c>
      <c r="D73" t="s">
        <v>473</v>
      </c>
      <c r="E73" t="s">
        <v>474</v>
      </c>
      <c r="F73" s="1">
        <v>1.3888888888888888E-5</v>
      </c>
      <c r="G73" t="s">
        <v>16</v>
      </c>
      <c r="H73">
        <v>2</v>
      </c>
      <c r="I73">
        <v>161</v>
      </c>
      <c r="J73">
        <v>163</v>
      </c>
      <c r="L73" t="s">
        <v>17</v>
      </c>
      <c r="M73" s="3">
        <f t="shared" si="28"/>
        <v>1.1589996982365847</v>
      </c>
    </row>
    <row r="74" spans="1:13" x14ac:dyDescent="0.25">
      <c r="A74" t="s">
        <v>139</v>
      </c>
      <c r="B74">
        <v>3</v>
      </c>
      <c r="C74" t="s">
        <v>36</v>
      </c>
      <c r="D74" t="s">
        <v>475</v>
      </c>
      <c r="E74" t="s">
        <v>476</v>
      </c>
      <c r="F74" s="1">
        <v>1.2731481481481482E-5</v>
      </c>
      <c r="G74" t="s">
        <v>16</v>
      </c>
      <c r="H74">
        <v>2</v>
      </c>
      <c r="I74">
        <v>161</v>
      </c>
      <c r="J74">
        <v>163</v>
      </c>
      <c r="L74" t="s">
        <v>17</v>
      </c>
      <c r="M74" s="3">
        <f t="shared" si="28"/>
        <v>1.119999960064888</v>
      </c>
    </row>
    <row r="75" spans="1:13" x14ac:dyDescent="0.25">
      <c r="A75" t="s">
        <v>139</v>
      </c>
      <c r="B75">
        <v>4</v>
      </c>
      <c r="C75" t="s">
        <v>36</v>
      </c>
      <c r="D75" t="s">
        <v>477</v>
      </c>
      <c r="E75" t="s">
        <v>478</v>
      </c>
      <c r="F75" s="1">
        <v>1.3888888888888888E-5</v>
      </c>
      <c r="G75" t="s">
        <v>16</v>
      </c>
      <c r="H75">
        <v>2</v>
      </c>
      <c r="I75">
        <v>161</v>
      </c>
      <c r="J75">
        <v>163</v>
      </c>
      <c r="L75" t="s">
        <v>17</v>
      </c>
      <c r="M75" s="3">
        <f t="shared" si="28"/>
        <v>1.1919996701180935</v>
      </c>
    </row>
    <row r="76" spans="1:13" x14ac:dyDescent="0.25">
      <c r="A76" t="s">
        <v>139</v>
      </c>
      <c r="B76">
        <v>5</v>
      </c>
      <c r="C76" t="s">
        <v>36</v>
      </c>
      <c r="D76" t="s">
        <v>479</v>
      </c>
      <c r="E76" t="s">
        <v>480</v>
      </c>
      <c r="F76" s="1">
        <v>1.3888888888888888E-5</v>
      </c>
      <c r="G76" t="s">
        <v>16</v>
      </c>
      <c r="H76">
        <v>2</v>
      </c>
      <c r="I76">
        <v>161</v>
      </c>
      <c r="J76">
        <v>163</v>
      </c>
      <c r="L76" t="s">
        <v>17</v>
      </c>
      <c r="M76" s="3">
        <f t="shared" si="28"/>
        <v>1.2230005580931902</v>
      </c>
    </row>
    <row r="77" spans="1:13" x14ac:dyDescent="0.25">
      <c r="A77" t="s">
        <v>139</v>
      </c>
      <c r="B77">
        <v>6</v>
      </c>
      <c r="C77" t="s">
        <v>36</v>
      </c>
      <c r="D77" t="s">
        <v>481</v>
      </c>
      <c r="E77" t="s">
        <v>482</v>
      </c>
      <c r="F77" s="1">
        <v>1.1574074074074073E-5</v>
      </c>
      <c r="G77" t="s">
        <v>16</v>
      </c>
      <c r="H77">
        <v>2</v>
      </c>
      <c r="I77">
        <v>161</v>
      </c>
      <c r="J77">
        <v>163</v>
      </c>
      <c r="L77" t="s">
        <v>17</v>
      </c>
      <c r="M77" s="3">
        <f t="shared" si="28"/>
        <v>0.99999960511922836</v>
      </c>
    </row>
    <row r="78" spans="1:13" x14ac:dyDescent="0.25">
      <c r="A78" t="s">
        <v>139</v>
      </c>
      <c r="B78">
        <v>7</v>
      </c>
      <c r="C78" t="s">
        <v>36</v>
      </c>
      <c r="D78" t="s">
        <v>483</v>
      </c>
      <c r="E78" t="s">
        <v>484</v>
      </c>
      <c r="F78" s="1">
        <v>1.6203703703703704E-5</v>
      </c>
      <c r="G78" t="s">
        <v>16</v>
      </c>
      <c r="H78">
        <v>2</v>
      </c>
      <c r="I78">
        <v>161</v>
      </c>
      <c r="J78">
        <v>163</v>
      </c>
      <c r="L78" t="s">
        <v>17</v>
      </c>
      <c r="M78" s="3">
        <f t="shared" si="28"/>
        <v>1.036000088788569</v>
      </c>
    </row>
    <row r="79" spans="1:13" x14ac:dyDescent="0.25">
      <c r="A79" t="s">
        <v>139</v>
      </c>
      <c r="B79">
        <v>8</v>
      </c>
      <c r="C79" t="s">
        <v>36</v>
      </c>
      <c r="D79" t="s">
        <v>485</v>
      </c>
      <c r="E79" t="s">
        <v>486</v>
      </c>
      <c r="F79" s="1">
        <v>1.2731481481481482E-5</v>
      </c>
      <c r="G79" t="s">
        <v>16</v>
      </c>
      <c r="H79">
        <v>2</v>
      </c>
      <c r="I79">
        <v>161</v>
      </c>
      <c r="J79">
        <v>163</v>
      </c>
      <c r="L79" t="s">
        <v>17</v>
      </c>
      <c r="M79" s="3">
        <f t="shared" si="28"/>
        <v>1.1309999506920576</v>
      </c>
    </row>
    <row r="80" spans="1:13" x14ac:dyDescent="0.25">
      <c r="A80" t="s">
        <v>139</v>
      </c>
      <c r="B80">
        <v>9</v>
      </c>
      <c r="C80" t="s">
        <v>36</v>
      </c>
      <c r="D80" t="s">
        <v>487</v>
      </c>
      <c r="E80" t="s">
        <v>488</v>
      </c>
      <c r="F80" s="1">
        <v>1.1574074074074073E-5</v>
      </c>
      <c r="G80" t="s">
        <v>16</v>
      </c>
      <c r="H80">
        <v>2</v>
      </c>
      <c r="I80">
        <v>161</v>
      </c>
      <c r="J80">
        <v>163</v>
      </c>
      <c r="L80" t="s">
        <v>17</v>
      </c>
      <c r="M80" s="3">
        <f t="shared" si="28"/>
        <v>0.99400046747177839</v>
      </c>
    </row>
    <row r="81" spans="1:13" x14ac:dyDescent="0.25">
      <c r="A81" t="s">
        <v>139</v>
      </c>
      <c r="B81">
        <v>10</v>
      </c>
      <c r="C81" t="s">
        <v>36</v>
      </c>
      <c r="D81" t="s">
        <v>489</v>
      </c>
      <c r="E81" t="s">
        <v>490</v>
      </c>
      <c r="F81" s="1">
        <v>1.2731481481481482E-5</v>
      </c>
      <c r="G81" t="s">
        <v>16</v>
      </c>
      <c r="H81">
        <v>2</v>
      </c>
      <c r="I81">
        <v>161</v>
      </c>
      <c r="J81">
        <v>163</v>
      </c>
      <c r="L81" t="s">
        <v>17</v>
      </c>
      <c r="M81" s="3">
        <f t="shared" si="28"/>
        <v>1.1440002825111151</v>
      </c>
    </row>
    <row r="82" spans="1:13" x14ac:dyDescent="0.25">
      <c r="A82" t="s">
        <v>139</v>
      </c>
      <c r="B82">
        <v>1</v>
      </c>
      <c r="C82" t="s">
        <v>57</v>
      </c>
      <c r="D82" t="s">
        <v>491</v>
      </c>
      <c r="E82" t="s">
        <v>492</v>
      </c>
      <c r="F82" s="1">
        <v>1.5046296296296297E-5</v>
      </c>
      <c r="G82" t="s">
        <v>16</v>
      </c>
      <c r="H82">
        <v>2</v>
      </c>
      <c r="I82">
        <v>94</v>
      </c>
      <c r="J82">
        <v>96</v>
      </c>
      <c r="L82" t="s">
        <v>17</v>
      </c>
      <c r="M82" s="3">
        <f t="shared" si="28"/>
        <v>1.3189999619498849</v>
      </c>
    </row>
    <row r="83" spans="1:13" x14ac:dyDescent="0.25">
      <c r="A83" t="s">
        <v>139</v>
      </c>
      <c r="B83">
        <v>2</v>
      </c>
      <c r="C83" t="s">
        <v>57</v>
      </c>
      <c r="D83" t="s">
        <v>493</v>
      </c>
      <c r="E83" t="s">
        <v>494</v>
      </c>
      <c r="F83" s="1">
        <v>1.2731481481481482E-5</v>
      </c>
      <c r="G83" t="s">
        <v>16</v>
      </c>
      <c r="H83">
        <v>2</v>
      </c>
      <c r="I83">
        <v>94</v>
      </c>
      <c r="J83">
        <v>96</v>
      </c>
      <c r="L83" t="s">
        <v>17</v>
      </c>
      <c r="M83" s="3">
        <f t="shared" si="28"/>
        <v>1.1360001750290394</v>
      </c>
    </row>
    <row r="84" spans="1:13" x14ac:dyDescent="0.25">
      <c r="A84" t="s">
        <v>139</v>
      </c>
      <c r="B84">
        <v>3</v>
      </c>
      <c r="C84" t="s">
        <v>57</v>
      </c>
      <c r="D84" t="s">
        <v>495</v>
      </c>
      <c r="E84" t="s">
        <v>496</v>
      </c>
      <c r="F84" s="1">
        <v>1.3888888888888888E-5</v>
      </c>
      <c r="G84" t="s">
        <v>16</v>
      </c>
      <c r="H84">
        <v>2</v>
      </c>
      <c r="I84">
        <v>94</v>
      </c>
      <c r="J84">
        <v>96</v>
      </c>
      <c r="L84" t="s">
        <v>17</v>
      </c>
      <c r="M84" s="3">
        <f t="shared" si="28"/>
        <v>1.2189998757094145</v>
      </c>
    </row>
    <row r="85" spans="1:13" x14ac:dyDescent="0.25">
      <c r="A85" t="s">
        <v>139</v>
      </c>
      <c r="B85">
        <v>4</v>
      </c>
      <c r="C85" t="s">
        <v>57</v>
      </c>
      <c r="D85" t="s">
        <v>497</v>
      </c>
      <c r="E85" t="s">
        <v>498</v>
      </c>
      <c r="F85" s="1">
        <v>1.7361111111111111E-5</v>
      </c>
      <c r="G85" t="s">
        <v>16</v>
      </c>
      <c r="H85">
        <v>2</v>
      </c>
      <c r="I85">
        <v>94</v>
      </c>
      <c r="J85">
        <v>96</v>
      </c>
      <c r="L85" t="s">
        <v>17</v>
      </c>
      <c r="M85" s="3">
        <f t="shared" si="28"/>
        <v>1.0489997919648886</v>
      </c>
    </row>
    <row r="86" spans="1:13" x14ac:dyDescent="0.25">
      <c r="A86" t="s">
        <v>139</v>
      </c>
      <c r="B86">
        <v>5</v>
      </c>
      <c r="C86" t="s">
        <v>57</v>
      </c>
      <c r="D86" t="s">
        <v>499</v>
      </c>
      <c r="E86" t="s">
        <v>500</v>
      </c>
      <c r="F86" s="1">
        <v>1.3888888888888888E-5</v>
      </c>
      <c r="G86" t="s">
        <v>16</v>
      </c>
      <c r="H86">
        <v>2</v>
      </c>
      <c r="I86">
        <v>94</v>
      </c>
      <c r="J86">
        <v>96</v>
      </c>
      <c r="L86" t="s">
        <v>17</v>
      </c>
      <c r="M86" s="3">
        <f t="shared" si="28"/>
        <v>1.1599998688325286</v>
      </c>
    </row>
    <row r="87" spans="1:13" x14ac:dyDescent="0.25">
      <c r="A87" t="s">
        <v>139</v>
      </c>
      <c r="B87">
        <v>6</v>
      </c>
      <c r="C87" t="s">
        <v>57</v>
      </c>
      <c r="D87" t="s">
        <v>501</v>
      </c>
      <c r="E87" t="s">
        <v>502</v>
      </c>
      <c r="F87" s="1">
        <v>1.2731481481481482E-5</v>
      </c>
      <c r="G87" t="s">
        <v>16</v>
      </c>
      <c r="H87">
        <v>2</v>
      </c>
      <c r="I87">
        <v>94</v>
      </c>
      <c r="J87">
        <v>96</v>
      </c>
      <c r="L87" t="s">
        <v>17</v>
      </c>
      <c r="M87" s="3">
        <f t="shared" si="28"/>
        <v>1.1290002381429076</v>
      </c>
    </row>
    <row r="88" spans="1:13" x14ac:dyDescent="0.25">
      <c r="A88" t="s">
        <v>139</v>
      </c>
      <c r="B88">
        <v>7</v>
      </c>
      <c r="C88" t="s">
        <v>57</v>
      </c>
      <c r="D88" t="s">
        <v>503</v>
      </c>
      <c r="E88" t="s">
        <v>504</v>
      </c>
      <c r="F88" s="1">
        <v>1.1574074074074073E-5</v>
      </c>
      <c r="G88" t="s">
        <v>16</v>
      </c>
      <c r="H88">
        <v>2</v>
      </c>
      <c r="I88">
        <v>94</v>
      </c>
      <c r="J88">
        <v>96</v>
      </c>
      <c r="L88" t="s">
        <v>17</v>
      </c>
      <c r="M88" s="3">
        <f t="shared" si="28"/>
        <v>0.97599991131573915</v>
      </c>
    </row>
    <row r="89" spans="1:13" x14ac:dyDescent="0.25">
      <c r="A89" t="s">
        <v>139</v>
      </c>
      <c r="B89">
        <v>8</v>
      </c>
      <c r="C89" t="s">
        <v>57</v>
      </c>
      <c r="D89" t="s">
        <v>505</v>
      </c>
      <c r="E89" t="s">
        <v>506</v>
      </c>
      <c r="F89" s="1">
        <v>1.3888888888888888E-5</v>
      </c>
      <c r="G89" t="s">
        <v>16</v>
      </c>
      <c r="H89">
        <v>2</v>
      </c>
      <c r="I89">
        <v>94</v>
      </c>
      <c r="J89">
        <v>96</v>
      </c>
      <c r="L89" t="s">
        <v>17</v>
      </c>
      <c r="M89" s="3">
        <f t="shared" si="28"/>
        <v>1.2249996419996023</v>
      </c>
    </row>
    <row r="90" spans="1:13" x14ac:dyDescent="0.25">
      <c r="A90" t="s">
        <v>139</v>
      </c>
      <c r="B90">
        <v>9</v>
      </c>
      <c r="C90" t="s">
        <v>57</v>
      </c>
      <c r="D90" t="s">
        <v>507</v>
      </c>
      <c r="E90" t="s">
        <v>508</v>
      </c>
      <c r="F90" s="1">
        <v>1.2731481481481482E-5</v>
      </c>
      <c r="G90" t="s">
        <v>16</v>
      </c>
      <c r="H90">
        <v>2</v>
      </c>
      <c r="I90">
        <v>94</v>
      </c>
      <c r="J90">
        <v>96</v>
      </c>
      <c r="L90" t="s">
        <v>17</v>
      </c>
      <c r="M90" s="3">
        <f t="shared" si="28"/>
        <v>1.1319994926452637</v>
      </c>
    </row>
    <row r="91" spans="1:13" x14ac:dyDescent="0.25">
      <c r="A91" t="s">
        <v>139</v>
      </c>
      <c r="B91">
        <v>10</v>
      </c>
      <c r="C91" t="s">
        <v>57</v>
      </c>
      <c r="D91" t="s">
        <v>509</v>
      </c>
      <c r="E91" t="s">
        <v>510</v>
      </c>
      <c r="F91" s="1">
        <v>1.1574074074074073E-5</v>
      </c>
      <c r="G91" t="s">
        <v>16</v>
      </c>
      <c r="H91">
        <v>2</v>
      </c>
      <c r="I91">
        <v>94</v>
      </c>
      <c r="J91">
        <v>96</v>
      </c>
      <c r="L91" t="s">
        <v>17</v>
      </c>
      <c r="M91" s="3">
        <f t="shared" si="28"/>
        <v>0.96300020813941956</v>
      </c>
    </row>
    <row r="92" spans="1:13" x14ac:dyDescent="0.25">
      <c r="A92" t="s">
        <v>200</v>
      </c>
      <c r="B92">
        <v>1</v>
      </c>
      <c r="C92" t="s">
        <v>13</v>
      </c>
      <c r="D92" t="s">
        <v>511</v>
      </c>
      <c r="E92" t="s">
        <v>512</v>
      </c>
      <c r="F92" s="1">
        <v>1.5046296296296297E-5</v>
      </c>
      <c r="G92" t="s">
        <v>16</v>
      </c>
      <c r="H92">
        <v>3</v>
      </c>
      <c r="I92">
        <v>67</v>
      </c>
      <c r="J92">
        <v>70</v>
      </c>
      <c r="L92" t="s">
        <v>17</v>
      </c>
      <c r="M92" s="3">
        <f t="shared" si="28"/>
        <v>1.2980001512914896</v>
      </c>
    </row>
    <row r="93" spans="1:13" x14ac:dyDescent="0.25">
      <c r="A93" t="s">
        <v>200</v>
      </c>
      <c r="B93">
        <v>2</v>
      </c>
      <c r="C93" t="s">
        <v>13</v>
      </c>
      <c r="D93" t="s">
        <v>513</v>
      </c>
      <c r="E93" t="s">
        <v>514</v>
      </c>
      <c r="F93" s="1">
        <v>1.5046296296296297E-5</v>
      </c>
      <c r="G93" t="s">
        <v>16</v>
      </c>
      <c r="H93">
        <v>3</v>
      </c>
      <c r="I93">
        <v>67</v>
      </c>
      <c r="J93">
        <v>70</v>
      </c>
      <c r="L93" t="s">
        <v>17</v>
      </c>
      <c r="M93" s="3">
        <f t="shared" si="28"/>
        <v>1.3100003125146031</v>
      </c>
    </row>
    <row r="94" spans="1:13" x14ac:dyDescent="0.25">
      <c r="A94" t="s">
        <v>200</v>
      </c>
      <c r="B94">
        <v>3</v>
      </c>
      <c r="C94" t="s">
        <v>13</v>
      </c>
      <c r="D94" t="s">
        <v>515</v>
      </c>
      <c r="E94" t="s">
        <v>516</v>
      </c>
      <c r="F94" s="1">
        <v>1.3888888888888888E-5</v>
      </c>
      <c r="G94" t="s">
        <v>16</v>
      </c>
      <c r="H94">
        <v>3</v>
      </c>
      <c r="I94">
        <v>67</v>
      </c>
      <c r="J94">
        <v>70</v>
      </c>
      <c r="L94" t="s">
        <v>17</v>
      </c>
      <c r="M94" s="3">
        <f t="shared" si="28"/>
        <v>1.2400003150105476</v>
      </c>
    </row>
    <row r="95" spans="1:13" x14ac:dyDescent="0.25">
      <c r="A95" t="s">
        <v>200</v>
      </c>
      <c r="B95">
        <v>4</v>
      </c>
      <c r="C95" t="s">
        <v>13</v>
      </c>
      <c r="D95" t="s">
        <v>517</v>
      </c>
      <c r="E95" t="s">
        <v>518</v>
      </c>
      <c r="F95" s="1">
        <v>1.6203703703703704E-5</v>
      </c>
      <c r="G95" t="s">
        <v>16</v>
      </c>
      <c r="H95">
        <v>3</v>
      </c>
      <c r="I95">
        <v>67</v>
      </c>
      <c r="J95">
        <v>70</v>
      </c>
      <c r="L95" t="s">
        <v>17</v>
      </c>
      <c r="M95" s="3">
        <f t="shared" si="28"/>
        <v>1.3629999244585633</v>
      </c>
    </row>
    <row r="96" spans="1:13" x14ac:dyDescent="0.25">
      <c r="A96" t="s">
        <v>200</v>
      </c>
      <c r="B96">
        <v>5</v>
      </c>
      <c r="C96" t="s">
        <v>13</v>
      </c>
      <c r="D96" t="s">
        <v>519</v>
      </c>
      <c r="E96" t="s">
        <v>520</v>
      </c>
      <c r="F96" s="1">
        <v>1.2731481481481482E-5</v>
      </c>
      <c r="G96" t="s">
        <v>16</v>
      </c>
      <c r="H96">
        <v>3</v>
      </c>
      <c r="I96">
        <v>67</v>
      </c>
      <c r="J96">
        <v>70</v>
      </c>
      <c r="L96" t="s">
        <v>17</v>
      </c>
      <c r="M96" s="3">
        <f t="shared" si="28"/>
        <v>1.1100001400336623</v>
      </c>
    </row>
    <row r="97" spans="1:13" x14ac:dyDescent="0.25">
      <c r="A97" t="s">
        <v>200</v>
      </c>
      <c r="B97">
        <v>6</v>
      </c>
      <c r="C97" t="s">
        <v>13</v>
      </c>
      <c r="D97" t="s">
        <v>521</v>
      </c>
      <c r="E97" t="s">
        <v>522</v>
      </c>
      <c r="F97" s="1">
        <v>2.6620370370370369E-5</v>
      </c>
      <c r="G97" t="s">
        <v>16</v>
      </c>
      <c r="H97">
        <v>3</v>
      </c>
      <c r="I97">
        <v>67</v>
      </c>
      <c r="J97">
        <v>70</v>
      </c>
      <c r="L97" t="s">
        <v>17</v>
      </c>
      <c r="M97" s="3">
        <f t="shared" si="28"/>
        <v>2.2619999013841152</v>
      </c>
    </row>
    <row r="98" spans="1:13" x14ac:dyDescent="0.25">
      <c r="A98" t="s">
        <v>200</v>
      </c>
      <c r="B98">
        <v>7</v>
      </c>
      <c r="C98" t="s">
        <v>13</v>
      </c>
      <c r="D98" t="s">
        <v>523</v>
      </c>
      <c r="E98" t="s">
        <v>524</v>
      </c>
      <c r="F98" s="1">
        <v>1.5046296296296297E-5</v>
      </c>
      <c r="G98" t="s">
        <v>16</v>
      </c>
      <c r="H98">
        <v>3</v>
      </c>
      <c r="I98">
        <v>67</v>
      </c>
      <c r="J98">
        <v>70</v>
      </c>
      <c r="L98" t="s">
        <v>17</v>
      </c>
      <c r="M98" s="3">
        <f t="shared" si="28"/>
        <v>1.2669998919591308</v>
      </c>
    </row>
    <row r="99" spans="1:13" x14ac:dyDescent="0.25">
      <c r="A99" t="s">
        <v>200</v>
      </c>
      <c r="B99">
        <v>8</v>
      </c>
      <c r="C99" t="s">
        <v>13</v>
      </c>
      <c r="D99" t="s">
        <v>525</v>
      </c>
      <c r="E99" t="s">
        <v>526</v>
      </c>
      <c r="F99" s="1">
        <v>1.5046296296296297E-5</v>
      </c>
      <c r="G99" t="s">
        <v>16</v>
      </c>
      <c r="H99">
        <v>3</v>
      </c>
      <c r="I99">
        <v>67</v>
      </c>
      <c r="J99">
        <v>70</v>
      </c>
      <c r="L99" t="s">
        <v>17</v>
      </c>
      <c r="M99" s="3">
        <f t="shared" si="28"/>
        <v>1.2859999900683761</v>
      </c>
    </row>
    <row r="100" spans="1:13" x14ac:dyDescent="0.25">
      <c r="A100" t="s">
        <v>200</v>
      </c>
      <c r="B100">
        <v>9</v>
      </c>
      <c r="C100" t="s">
        <v>13</v>
      </c>
      <c r="D100" t="s">
        <v>527</v>
      </c>
      <c r="E100" t="s">
        <v>528</v>
      </c>
      <c r="F100" s="1">
        <v>1.5046296296296297E-5</v>
      </c>
      <c r="G100" t="s">
        <v>16</v>
      </c>
      <c r="H100">
        <v>3</v>
      </c>
      <c r="I100">
        <v>67</v>
      </c>
      <c r="J100">
        <v>70</v>
      </c>
      <c r="L100" t="s">
        <v>17</v>
      </c>
      <c r="M100" s="3">
        <f t="shared" si="28"/>
        <v>1.2729996582493186</v>
      </c>
    </row>
    <row r="101" spans="1:13" x14ac:dyDescent="0.25">
      <c r="A101" t="s">
        <v>200</v>
      </c>
      <c r="B101">
        <v>10</v>
      </c>
      <c r="C101" t="s">
        <v>13</v>
      </c>
      <c r="D101" t="s">
        <v>529</v>
      </c>
      <c r="E101" t="s">
        <v>530</v>
      </c>
      <c r="F101" s="1">
        <v>1.2731481481481482E-5</v>
      </c>
      <c r="G101" t="s">
        <v>16</v>
      </c>
      <c r="H101">
        <v>3</v>
      </c>
      <c r="I101">
        <v>67</v>
      </c>
      <c r="J101">
        <v>70</v>
      </c>
      <c r="L101" t="s">
        <v>17</v>
      </c>
      <c r="M101" s="3">
        <f t="shared" si="28"/>
        <v>1.1210001306608319</v>
      </c>
    </row>
    <row r="102" spans="1:13" x14ac:dyDescent="0.25">
      <c r="A102" t="s">
        <v>200</v>
      </c>
      <c r="B102">
        <v>1</v>
      </c>
      <c r="C102" t="s">
        <v>36</v>
      </c>
      <c r="D102" t="s">
        <v>531</v>
      </c>
      <c r="E102" t="s">
        <v>532</v>
      </c>
      <c r="F102" s="1">
        <v>1.2731481481481482E-5</v>
      </c>
      <c r="G102" t="s">
        <v>16</v>
      </c>
      <c r="H102">
        <v>3</v>
      </c>
      <c r="I102">
        <v>139</v>
      </c>
      <c r="J102">
        <v>142</v>
      </c>
      <c r="L102" t="s">
        <v>17</v>
      </c>
      <c r="M102" s="3">
        <f t="shared" si="28"/>
        <v>1.1320001212880015</v>
      </c>
    </row>
    <row r="103" spans="1:13" x14ac:dyDescent="0.25">
      <c r="A103" t="s">
        <v>200</v>
      </c>
      <c r="B103">
        <v>2</v>
      </c>
      <c r="C103" t="s">
        <v>36</v>
      </c>
      <c r="D103" t="s">
        <v>533</v>
      </c>
      <c r="E103" t="s">
        <v>534</v>
      </c>
      <c r="F103" s="1">
        <v>1.3888888888888888E-5</v>
      </c>
      <c r="G103" t="s">
        <v>16</v>
      </c>
      <c r="H103">
        <v>3</v>
      </c>
      <c r="I103">
        <v>139</v>
      </c>
      <c r="J103">
        <v>142</v>
      </c>
      <c r="L103" t="s">
        <v>17</v>
      </c>
      <c r="M103" s="3">
        <f t="shared" si="28"/>
        <v>1.1819998500868678</v>
      </c>
    </row>
    <row r="104" spans="1:13" x14ac:dyDescent="0.25">
      <c r="A104" t="s">
        <v>200</v>
      </c>
      <c r="B104">
        <v>3</v>
      </c>
      <c r="C104" t="s">
        <v>36</v>
      </c>
      <c r="D104" t="s">
        <v>535</v>
      </c>
      <c r="E104" t="s">
        <v>536</v>
      </c>
      <c r="F104" s="1">
        <v>1.2731481481481482E-5</v>
      </c>
      <c r="G104" t="s">
        <v>16</v>
      </c>
      <c r="H104">
        <v>3</v>
      </c>
      <c r="I104">
        <v>139</v>
      </c>
      <c r="J104">
        <v>142</v>
      </c>
      <c r="L104" t="s">
        <v>17</v>
      </c>
      <c r="M104" s="3">
        <f t="shared" si="28"/>
        <v>1.1060000862926245</v>
      </c>
    </row>
    <row r="105" spans="1:13" x14ac:dyDescent="0.25">
      <c r="A105" t="s">
        <v>200</v>
      </c>
      <c r="B105">
        <v>4</v>
      </c>
      <c r="C105" t="s">
        <v>36</v>
      </c>
      <c r="D105" t="s">
        <v>537</v>
      </c>
      <c r="E105" t="s">
        <v>538</v>
      </c>
      <c r="F105" s="1">
        <v>1.3888888888888888E-5</v>
      </c>
      <c r="G105" t="s">
        <v>16</v>
      </c>
      <c r="H105">
        <v>3</v>
      </c>
      <c r="I105">
        <v>139</v>
      </c>
      <c r="J105">
        <v>142</v>
      </c>
      <c r="L105" t="s">
        <v>17</v>
      </c>
      <c r="M105" s="3">
        <f t="shared" si="28"/>
        <v>1.2460000813007355</v>
      </c>
    </row>
    <row r="106" spans="1:13" x14ac:dyDescent="0.25">
      <c r="A106" t="s">
        <v>200</v>
      </c>
      <c r="B106">
        <v>5</v>
      </c>
      <c r="C106" t="s">
        <v>36</v>
      </c>
      <c r="D106" t="s">
        <v>539</v>
      </c>
      <c r="E106" t="s">
        <v>540</v>
      </c>
      <c r="F106" s="1">
        <v>1.7361111111111111E-5</v>
      </c>
      <c r="G106" t="s">
        <v>16</v>
      </c>
      <c r="H106">
        <v>3</v>
      </c>
      <c r="I106">
        <v>139</v>
      </c>
      <c r="J106">
        <v>142</v>
      </c>
      <c r="L106" t="s">
        <v>17</v>
      </c>
      <c r="M106" s="3">
        <f t="shared" si="28"/>
        <v>1.5049996320158243</v>
      </c>
    </row>
    <row r="107" spans="1:13" x14ac:dyDescent="0.25">
      <c r="A107" t="s">
        <v>200</v>
      </c>
      <c r="B107">
        <v>6</v>
      </c>
      <c r="C107" t="s">
        <v>36</v>
      </c>
      <c r="D107" t="s">
        <v>541</v>
      </c>
      <c r="E107" t="s">
        <v>542</v>
      </c>
      <c r="F107" s="1">
        <v>1.5046296296296297E-5</v>
      </c>
      <c r="G107" t="s">
        <v>16</v>
      </c>
      <c r="H107">
        <v>3</v>
      </c>
      <c r="I107">
        <v>139</v>
      </c>
      <c r="J107">
        <v>142</v>
      </c>
      <c r="L107" t="s">
        <v>17</v>
      </c>
      <c r="M107" s="3">
        <f t="shared" si="28"/>
        <v>1.2590004131197929</v>
      </c>
    </row>
    <row r="108" spans="1:13" x14ac:dyDescent="0.25">
      <c r="A108" t="s">
        <v>200</v>
      </c>
      <c r="B108">
        <v>7</v>
      </c>
      <c r="C108" t="s">
        <v>36</v>
      </c>
      <c r="D108" t="s">
        <v>543</v>
      </c>
      <c r="E108" t="s">
        <v>544</v>
      </c>
      <c r="F108" s="1">
        <v>1.3888888888888888E-5</v>
      </c>
      <c r="G108" t="s">
        <v>16</v>
      </c>
      <c r="H108">
        <v>3</v>
      </c>
      <c r="I108">
        <v>139</v>
      </c>
      <c r="J108">
        <v>142</v>
      </c>
      <c r="L108" t="s">
        <v>17</v>
      </c>
      <c r="M108" s="3">
        <f t="shared" si="28"/>
        <v>1.1770002543926239</v>
      </c>
    </row>
    <row r="109" spans="1:13" x14ac:dyDescent="0.25">
      <c r="A109" t="s">
        <v>200</v>
      </c>
      <c r="B109">
        <v>8</v>
      </c>
      <c r="C109" t="s">
        <v>36</v>
      </c>
      <c r="D109" t="s">
        <v>545</v>
      </c>
      <c r="E109" t="s">
        <v>546</v>
      </c>
      <c r="F109" s="1">
        <v>1.3888888888888888E-5</v>
      </c>
      <c r="G109" t="s">
        <v>16</v>
      </c>
      <c r="H109">
        <v>3</v>
      </c>
      <c r="I109">
        <v>139</v>
      </c>
      <c r="J109">
        <v>142</v>
      </c>
      <c r="L109" t="s">
        <v>17</v>
      </c>
      <c r="M109" s="3">
        <f t="shared" si="28"/>
        <v>1.2259998125955462</v>
      </c>
    </row>
    <row r="110" spans="1:13" x14ac:dyDescent="0.25">
      <c r="A110" t="s">
        <v>200</v>
      </c>
      <c r="B110">
        <v>9</v>
      </c>
      <c r="C110" t="s">
        <v>36</v>
      </c>
      <c r="D110" t="s">
        <v>547</v>
      </c>
      <c r="E110" t="s">
        <v>548</v>
      </c>
      <c r="F110" s="1">
        <v>1.5046296296296297E-5</v>
      </c>
      <c r="G110" t="s">
        <v>16</v>
      </c>
      <c r="H110">
        <v>3</v>
      </c>
      <c r="I110">
        <v>139</v>
      </c>
      <c r="J110">
        <v>142</v>
      </c>
      <c r="L110" t="s">
        <v>17</v>
      </c>
      <c r="M110" s="3">
        <f t="shared" si="28"/>
        <v>1.2749999994412065</v>
      </c>
    </row>
    <row r="111" spans="1:13" x14ac:dyDescent="0.25">
      <c r="A111" t="s">
        <v>200</v>
      </c>
      <c r="B111">
        <v>10</v>
      </c>
      <c r="C111" t="s">
        <v>36</v>
      </c>
      <c r="D111" t="s">
        <v>549</v>
      </c>
      <c r="E111" t="s">
        <v>550</v>
      </c>
      <c r="F111" s="1">
        <v>2.8935185185185186E-5</v>
      </c>
      <c r="G111" t="s">
        <v>16</v>
      </c>
      <c r="H111">
        <v>3</v>
      </c>
      <c r="I111">
        <v>139</v>
      </c>
      <c r="J111">
        <v>142</v>
      </c>
      <c r="L111" t="s">
        <v>17</v>
      </c>
      <c r="M111" s="3">
        <f t="shared" si="28"/>
        <v>2.5370002957060933</v>
      </c>
    </row>
    <row r="112" spans="1:13" x14ac:dyDescent="0.25">
      <c r="A112" t="s">
        <v>200</v>
      </c>
      <c r="B112">
        <v>1</v>
      </c>
      <c r="C112" t="s">
        <v>57</v>
      </c>
      <c r="D112" t="s">
        <v>551</v>
      </c>
      <c r="E112" t="s">
        <v>552</v>
      </c>
      <c r="F112" s="1">
        <v>1.5046296296296297E-5</v>
      </c>
      <c r="G112" t="s">
        <v>16</v>
      </c>
      <c r="H112">
        <v>3</v>
      </c>
      <c r="I112">
        <v>101</v>
      </c>
      <c r="J112">
        <v>104</v>
      </c>
      <c r="L112" t="s">
        <v>17</v>
      </c>
      <c r="M112" s="3">
        <f t="shared" si="28"/>
        <v>1.2690002331510186</v>
      </c>
    </row>
    <row r="113" spans="1:13" x14ac:dyDescent="0.25">
      <c r="A113" t="s">
        <v>200</v>
      </c>
      <c r="B113">
        <v>2</v>
      </c>
      <c r="C113" t="s">
        <v>57</v>
      </c>
      <c r="D113" t="s">
        <v>553</v>
      </c>
      <c r="E113" t="s">
        <v>554</v>
      </c>
      <c r="F113" s="1">
        <v>1.3888888888888888E-5</v>
      </c>
      <c r="G113" t="s">
        <v>16</v>
      </c>
      <c r="H113">
        <v>3</v>
      </c>
      <c r="I113">
        <v>101</v>
      </c>
      <c r="J113">
        <v>104</v>
      </c>
      <c r="L113" t="s">
        <v>17</v>
      </c>
      <c r="M113" s="3">
        <f t="shared" si="28"/>
        <v>1.2370004318654537</v>
      </c>
    </row>
    <row r="114" spans="1:13" x14ac:dyDescent="0.25">
      <c r="A114" t="s">
        <v>200</v>
      </c>
      <c r="B114">
        <v>3</v>
      </c>
      <c r="C114" t="s">
        <v>57</v>
      </c>
      <c r="D114" t="s">
        <v>555</v>
      </c>
      <c r="E114" t="s">
        <v>556</v>
      </c>
      <c r="F114" s="1">
        <v>1.3888888888888888E-5</v>
      </c>
      <c r="G114" t="s">
        <v>16</v>
      </c>
      <c r="H114">
        <v>3</v>
      </c>
      <c r="I114">
        <v>101</v>
      </c>
      <c r="J114">
        <v>104</v>
      </c>
      <c r="L114" t="s">
        <v>17</v>
      </c>
      <c r="M114" s="3">
        <f t="shared" si="28"/>
        <v>1.1559998150914907</v>
      </c>
    </row>
    <row r="115" spans="1:13" x14ac:dyDescent="0.25">
      <c r="A115" t="s">
        <v>200</v>
      </c>
      <c r="B115">
        <v>4</v>
      </c>
      <c r="C115" t="s">
        <v>57</v>
      </c>
      <c r="D115" t="s">
        <v>557</v>
      </c>
      <c r="E115" t="s">
        <v>558</v>
      </c>
      <c r="F115" s="1">
        <v>1.3888888888888888E-5</v>
      </c>
      <c r="G115" t="s">
        <v>16</v>
      </c>
      <c r="H115">
        <v>3</v>
      </c>
      <c r="I115">
        <v>101</v>
      </c>
      <c r="J115">
        <v>104</v>
      </c>
      <c r="L115" t="s">
        <v>17</v>
      </c>
      <c r="M115" s="3">
        <f t="shared" si="28"/>
        <v>1.2350000906735659</v>
      </c>
    </row>
    <row r="116" spans="1:13" x14ac:dyDescent="0.25">
      <c r="A116" t="s">
        <v>200</v>
      </c>
      <c r="B116">
        <v>5</v>
      </c>
      <c r="C116" t="s">
        <v>57</v>
      </c>
      <c r="D116" t="s">
        <v>559</v>
      </c>
      <c r="E116" t="s">
        <v>560</v>
      </c>
      <c r="F116" s="1">
        <v>1.2731481481481482E-5</v>
      </c>
      <c r="G116" t="s">
        <v>16</v>
      </c>
      <c r="H116">
        <v>3</v>
      </c>
      <c r="I116">
        <v>101</v>
      </c>
      <c r="J116">
        <v>104</v>
      </c>
      <c r="L116" t="s">
        <v>17</v>
      </c>
      <c r="M116" s="3">
        <f t="shared" si="28"/>
        <v>1.1229998432099819</v>
      </c>
    </row>
    <row r="117" spans="1:13" x14ac:dyDescent="0.25">
      <c r="A117" t="s">
        <v>200</v>
      </c>
      <c r="B117">
        <v>6</v>
      </c>
      <c r="C117" t="s">
        <v>57</v>
      </c>
      <c r="D117" t="s">
        <v>561</v>
      </c>
      <c r="E117" t="s">
        <v>562</v>
      </c>
      <c r="F117" s="1">
        <v>1.2731481481481482E-5</v>
      </c>
      <c r="G117" t="s">
        <v>16</v>
      </c>
      <c r="H117">
        <v>3</v>
      </c>
      <c r="I117">
        <v>101</v>
      </c>
      <c r="J117">
        <v>104</v>
      </c>
      <c r="L117" t="s">
        <v>17</v>
      </c>
      <c r="M117" s="3">
        <f t="shared" si="28"/>
        <v>1.1419999413192272</v>
      </c>
    </row>
    <row r="118" spans="1:13" x14ac:dyDescent="0.25">
      <c r="A118" t="s">
        <v>200</v>
      </c>
      <c r="B118">
        <v>7</v>
      </c>
      <c r="C118" t="s">
        <v>57</v>
      </c>
      <c r="D118" t="s">
        <v>563</v>
      </c>
      <c r="E118" t="s">
        <v>564</v>
      </c>
      <c r="F118" s="1">
        <v>1.3888888888888888E-5</v>
      </c>
      <c r="G118" t="s">
        <v>16</v>
      </c>
      <c r="H118">
        <v>3</v>
      </c>
      <c r="I118">
        <v>101</v>
      </c>
      <c r="J118">
        <v>104</v>
      </c>
      <c r="L118" t="s">
        <v>17</v>
      </c>
      <c r="M118" s="3">
        <f t="shared" si="28"/>
        <v>1.1679999763146043</v>
      </c>
    </row>
    <row r="119" spans="1:13" x14ac:dyDescent="0.25">
      <c r="A119" t="s">
        <v>200</v>
      </c>
      <c r="B119">
        <v>8</v>
      </c>
      <c r="C119" t="s">
        <v>57</v>
      </c>
      <c r="D119" t="s">
        <v>565</v>
      </c>
      <c r="E119" t="s">
        <v>566</v>
      </c>
      <c r="F119" s="1">
        <v>1.7361111111111111E-5</v>
      </c>
      <c r="G119" t="s">
        <v>16</v>
      </c>
      <c r="H119">
        <v>3</v>
      </c>
      <c r="I119">
        <v>101</v>
      </c>
      <c r="J119">
        <v>104</v>
      </c>
      <c r="L119" t="s">
        <v>17</v>
      </c>
      <c r="M119" s="3">
        <f t="shared" si="28"/>
        <v>1.4939996413886547</v>
      </c>
    </row>
    <row r="120" spans="1:13" x14ac:dyDescent="0.25">
      <c r="A120" t="s">
        <v>200</v>
      </c>
      <c r="B120">
        <v>9</v>
      </c>
      <c r="C120" t="s">
        <v>57</v>
      </c>
      <c r="D120" t="s">
        <v>567</v>
      </c>
      <c r="E120" t="s">
        <v>568</v>
      </c>
      <c r="F120" s="1">
        <v>1.2731481481481482E-5</v>
      </c>
      <c r="G120" t="s">
        <v>16</v>
      </c>
      <c r="H120">
        <v>3</v>
      </c>
      <c r="I120">
        <v>101</v>
      </c>
      <c r="J120">
        <v>104</v>
      </c>
      <c r="L120" t="s">
        <v>17</v>
      </c>
      <c r="M120" s="3">
        <f t="shared" si="28"/>
        <v>1.1350000044330955</v>
      </c>
    </row>
    <row r="121" spans="1:13" x14ac:dyDescent="0.25">
      <c r="A121" t="s">
        <v>200</v>
      </c>
      <c r="B121">
        <v>10</v>
      </c>
      <c r="C121" t="s">
        <v>57</v>
      </c>
      <c r="D121" t="s">
        <v>569</v>
      </c>
      <c r="E121" t="s">
        <v>570</v>
      </c>
      <c r="F121" s="1">
        <v>2.3148148148148147E-5</v>
      </c>
      <c r="G121" t="s">
        <v>16</v>
      </c>
      <c r="H121">
        <v>3</v>
      </c>
      <c r="I121">
        <v>101</v>
      </c>
      <c r="J121">
        <v>104</v>
      </c>
      <c r="L121" t="s">
        <v>17</v>
      </c>
      <c r="M121" s="3">
        <f t="shared" si="28"/>
        <v>1.0990001494064927</v>
      </c>
    </row>
    <row r="122" spans="1:13" x14ac:dyDescent="0.25">
      <c r="A122" t="s">
        <v>261</v>
      </c>
      <c r="B122">
        <v>1</v>
      </c>
      <c r="C122" t="s">
        <v>13</v>
      </c>
      <c r="D122" t="s">
        <v>571</v>
      </c>
      <c r="E122" t="s">
        <v>572</v>
      </c>
      <c r="F122" s="1">
        <v>2.0833333333333333E-5</v>
      </c>
      <c r="G122" t="s">
        <v>16</v>
      </c>
      <c r="H122">
        <v>3</v>
      </c>
      <c r="I122">
        <v>91</v>
      </c>
      <c r="J122">
        <v>94</v>
      </c>
      <c r="L122" t="s">
        <v>17</v>
      </c>
      <c r="M122" s="3">
        <f t="shared" si="28"/>
        <v>1.8049998907372355</v>
      </c>
    </row>
    <row r="123" spans="1:13" x14ac:dyDescent="0.25">
      <c r="A123" t="s">
        <v>261</v>
      </c>
      <c r="B123">
        <v>2</v>
      </c>
      <c r="C123" t="s">
        <v>13</v>
      </c>
      <c r="D123" t="s">
        <v>573</v>
      </c>
      <c r="E123" t="s">
        <v>574</v>
      </c>
      <c r="F123" s="1">
        <v>1.6203703703703704E-5</v>
      </c>
      <c r="G123" t="s">
        <v>16</v>
      </c>
      <c r="H123">
        <v>3</v>
      </c>
      <c r="I123">
        <v>91</v>
      </c>
      <c r="J123">
        <v>94</v>
      </c>
      <c r="L123" t="s">
        <v>17</v>
      </c>
      <c r="M123" s="3">
        <f t="shared" si="28"/>
        <v>1.4439999125897884</v>
      </c>
    </row>
    <row r="124" spans="1:13" x14ac:dyDescent="0.25">
      <c r="A124" t="s">
        <v>261</v>
      </c>
      <c r="B124">
        <v>3</v>
      </c>
      <c r="C124" t="s">
        <v>13</v>
      </c>
      <c r="D124" t="s">
        <v>575</v>
      </c>
      <c r="E124" t="s">
        <v>576</v>
      </c>
      <c r="F124" s="1">
        <v>1.7361111111111111E-5</v>
      </c>
      <c r="G124" t="s">
        <v>16</v>
      </c>
      <c r="H124">
        <v>3</v>
      </c>
      <c r="I124">
        <v>91</v>
      </c>
      <c r="J124">
        <v>94</v>
      </c>
      <c r="L124" t="s">
        <v>17</v>
      </c>
      <c r="M124" s="3">
        <f t="shared" si="28"/>
        <v>1.5439999988302588</v>
      </c>
    </row>
    <row r="125" spans="1:13" x14ac:dyDescent="0.25">
      <c r="A125" t="s">
        <v>261</v>
      </c>
      <c r="B125">
        <v>4</v>
      </c>
      <c r="C125" t="s">
        <v>13</v>
      </c>
      <c r="D125" t="s">
        <v>577</v>
      </c>
      <c r="E125" t="s">
        <v>578</v>
      </c>
      <c r="F125" s="1">
        <v>1.6203703703703704E-5</v>
      </c>
      <c r="G125" t="s">
        <v>16</v>
      </c>
      <c r="H125">
        <v>3</v>
      </c>
      <c r="I125">
        <v>91</v>
      </c>
      <c r="J125">
        <v>94</v>
      </c>
      <c r="L125" t="s">
        <v>17</v>
      </c>
      <c r="M125" s="3">
        <f t="shared" si="28"/>
        <v>1.4410000294446945</v>
      </c>
    </row>
    <row r="126" spans="1:13" x14ac:dyDescent="0.25">
      <c r="A126" t="s">
        <v>261</v>
      </c>
      <c r="B126">
        <v>5</v>
      </c>
      <c r="C126" t="s">
        <v>13</v>
      </c>
      <c r="D126" t="s">
        <v>579</v>
      </c>
      <c r="E126" t="s">
        <v>580</v>
      </c>
      <c r="F126" s="1">
        <v>2.0833333333333333E-5</v>
      </c>
      <c r="G126" t="s">
        <v>16</v>
      </c>
      <c r="H126">
        <v>3</v>
      </c>
      <c r="I126">
        <v>91</v>
      </c>
      <c r="J126">
        <v>94</v>
      </c>
      <c r="L126" t="s">
        <v>17</v>
      </c>
      <c r="M126" s="3">
        <f t="shared" si="28"/>
        <v>1.7960002413019538</v>
      </c>
    </row>
    <row r="127" spans="1:13" x14ac:dyDescent="0.25">
      <c r="A127" t="s">
        <v>261</v>
      </c>
      <c r="B127">
        <v>6</v>
      </c>
      <c r="C127" t="s">
        <v>13</v>
      </c>
      <c r="D127" t="s">
        <v>581</v>
      </c>
      <c r="E127" t="s">
        <v>582</v>
      </c>
      <c r="F127" s="1">
        <v>1.6203703703703704E-5</v>
      </c>
      <c r="G127" t="s">
        <v>16</v>
      </c>
      <c r="H127">
        <v>3</v>
      </c>
      <c r="I127">
        <v>91</v>
      </c>
      <c r="J127">
        <v>94</v>
      </c>
      <c r="L127" t="s">
        <v>17</v>
      </c>
      <c r="M127" s="3">
        <f t="shared" si="28"/>
        <v>1.4159995364025235</v>
      </c>
    </row>
    <row r="128" spans="1:13" x14ac:dyDescent="0.25">
      <c r="A128" t="s">
        <v>261</v>
      </c>
      <c r="B128">
        <v>7</v>
      </c>
      <c r="C128" t="s">
        <v>13</v>
      </c>
      <c r="D128" t="s">
        <v>583</v>
      </c>
      <c r="E128" t="s">
        <v>584</v>
      </c>
      <c r="F128" s="1">
        <v>2.0833333333333333E-5</v>
      </c>
      <c r="G128" t="s">
        <v>16</v>
      </c>
      <c r="H128">
        <v>3</v>
      </c>
      <c r="I128">
        <v>91</v>
      </c>
      <c r="J128">
        <v>94</v>
      </c>
      <c r="L128" t="s">
        <v>17</v>
      </c>
      <c r="M128" s="3">
        <f t="shared" si="28"/>
        <v>1.791000016964972</v>
      </c>
    </row>
    <row r="129" spans="1:13" x14ac:dyDescent="0.25">
      <c r="A129" t="s">
        <v>261</v>
      </c>
      <c r="B129">
        <v>8</v>
      </c>
      <c r="C129" t="s">
        <v>13</v>
      </c>
      <c r="D129" t="s">
        <v>585</v>
      </c>
      <c r="E129" t="s">
        <v>586</v>
      </c>
      <c r="F129" s="1">
        <v>1.7361111111111111E-5</v>
      </c>
      <c r="G129" t="s">
        <v>16</v>
      </c>
      <c r="H129">
        <v>3</v>
      </c>
      <c r="I129">
        <v>91</v>
      </c>
      <c r="J129">
        <v>94</v>
      </c>
      <c r="L129" t="s">
        <v>17</v>
      </c>
      <c r="M129" s="3">
        <f t="shared" si="28"/>
        <v>1.4710001181811094</v>
      </c>
    </row>
    <row r="130" spans="1:13" x14ac:dyDescent="0.25">
      <c r="A130" t="s">
        <v>261</v>
      </c>
      <c r="B130">
        <v>9</v>
      </c>
      <c r="C130" t="s">
        <v>13</v>
      </c>
      <c r="D130" t="s">
        <v>587</v>
      </c>
      <c r="E130" t="s">
        <v>588</v>
      </c>
      <c r="F130" s="1">
        <v>1.7361111111111111E-5</v>
      </c>
      <c r="G130" t="s">
        <v>16</v>
      </c>
      <c r="H130">
        <v>3</v>
      </c>
      <c r="I130">
        <v>91</v>
      </c>
      <c r="J130">
        <v>94</v>
      </c>
      <c r="L130" t="s">
        <v>17</v>
      </c>
      <c r="M130" s="3">
        <f t="shared" si="28"/>
        <v>1.4680002350360155</v>
      </c>
    </row>
    <row r="131" spans="1:13" x14ac:dyDescent="0.25">
      <c r="A131" t="s">
        <v>261</v>
      </c>
      <c r="B131">
        <v>10</v>
      </c>
      <c r="C131" t="s">
        <v>13</v>
      </c>
      <c r="D131" t="s">
        <v>589</v>
      </c>
      <c r="E131" t="s">
        <v>590</v>
      </c>
      <c r="F131" s="1">
        <v>1.7361111111111111E-5</v>
      </c>
      <c r="G131" t="s">
        <v>16</v>
      </c>
      <c r="H131">
        <v>3</v>
      </c>
      <c r="I131">
        <v>91</v>
      </c>
      <c r="J131">
        <v>94</v>
      </c>
      <c r="L131" t="s">
        <v>17</v>
      </c>
      <c r="M131" s="3">
        <f t="shared" ref="M131:M194" si="29">(SUBSTITUTE(LEFT(E131,23),"T"," ")-SUBSTITUTE(LEFT(D131,23),"T"," "))*86400</f>
        <v>1.4980003237724304</v>
      </c>
    </row>
    <row r="132" spans="1:13" x14ac:dyDescent="0.25">
      <c r="A132" t="s">
        <v>261</v>
      </c>
      <c r="B132">
        <v>1</v>
      </c>
      <c r="C132" t="s">
        <v>36</v>
      </c>
      <c r="D132" t="s">
        <v>591</v>
      </c>
      <c r="E132" t="s">
        <v>592</v>
      </c>
      <c r="F132" s="1">
        <v>1.6203703703703704E-5</v>
      </c>
      <c r="G132" t="s">
        <v>16</v>
      </c>
      <c r="H132">
        <v>3</v>
      </c>
      <c r="I132">
        <v>164</v>
      </c>
      <c r="J132">
        <v>167</v>
      </c>
      <c r="L132" t="s">
        <v>17</v>
      </c>
      <c r="M132" s="3">
        <f t="shared" si="29"/>
        <v>1.425000443123281</v>
      </c>
    </row>
    <row r="133" spans="1:13" x14ac:dyDescent="0.25">
      <c r="A133" t="s">
        <v>261</v>
      </c>
      <c r="B133">
        <v>2</v>
      </c>
      <c r="C133" t="s">
        <v>36</v>
      </c>
      <c r="D133" t="s">
        <v>593</v>
      </c>
      <c r="E133" t="s">
        <v>594</v>
      </c>
      <c r="F133" s="1">
        <v>1.6203703703703704E-5</v>
      </c>
      <c r="G133" t="s">
        <v>16</v>
      </c>
      <c r="H133">
        <v>3</v>
      </c>
      <c r="I133">
        <v>164</v>
      </c>
      <c r="J133">
        <v>167</v>
      </c>
      <c r="L133" t="s">
        <v>17</v>
      </c>
      <c r="M133" s="3">
        <f t="shared" si="29"/>
        <v>1.3959998963400722</v>
      </c>
    </row>
    <row r="134" spans="1:13" x14ac:dyDescent="0.25">
      <c r="A134" t="s">
        <v>261</v>
      </c>
      <c r="B134">
        <v>3</v>
      </c>
      <c r="C134" t="s">
        <v>36</v>
      </c>
      <c r="D134" t="s">
        <v>595</v>
      </c>
      <c r="E134" t="s">
        <v>596</v>
      </c>
      <c r="F134" s="1">
        <v>1.6203703703703704E-5</v>
      </c>
      <c r="G134" t="s">
        <v>16</v>
      </c>
      <c r="H134">
        <v>3</v>
      </c>
      <c r="I134">
        <v>164</v>
      </c>
      <c r="J134">
        <v>167</v>
      </c>
      <c r="L134" t="s">
        <v>17</v>
      </c>
      <c r="M134" s="3">
        <f t="shared" si="29"/>
        <v>1.4399998588487506</v>
      </c>
    </row>
    <row r="135" spans="1:13" x14ac:dyDescent="0.25">
      <c r="A135" t="s">
        <v>261</v>
      </c>
      <c r="B135">
        <v>4</v>
      </c>
      <c r="C135" t="s">
        <v>36</v>
      </c>
      <c r="D135" t="s">
        <v>597</v>
      </c>
      <c r="E135" t="s">
        <v>598</v>
      </c>
      <c r="F135" s="1">
        <v>1.6203703703703704E-5</v>
      </c>
      <c r="G135" t="s">
        <v>16</v>
      </c>
      <c r="H135">
        <v>3</v>
      </c>
      <c r="I135">
        <v>164</v>
      </c>
      <c r="J135">
        <v>167</v>
      </c>
      <c r="L135" t="s">
        <v>17</v>
      </c>
      <c r="M135" s="3">
        <f t="shared" si="29"/>
        <v>1.4209997607395053</v>
      </c>
    </row>
    <row r="136" spans="1:13" x14ac:dyDescent="0.25">
      <c r="A136" t="s">
        <v>261</v>
      </c>
      <c r="B136">
        <v>5</v>
      </c>
      <c r="C136" t="s">
        <v>36</v>
      </c>
      <c r="D136" t="s">
        <v>599</v>
      </c>
      <c r="E136" t="s">
        <v>600</v>
      </c>
      <c r="F136" s="1">
        <v>2.0833333333333333E-5</v>
      </c>
      <c r="G136" t="s">
        <v>16</v>
      </c>
      <c r="H136">
        <v>3</v>
      </c>
      <c r="I136">
        <v>164</v>
      </c>
      <c r="J136">
        <v>167</v>
      </c>
      <c r="L136" t="s">
        <v>17</v>
      </c>
      <c r="M136" s="3">
        <f t="shared" si="29"/>
        <v>1.7730000894516706</v>
      </c>
    </row>
    <row r="137" spans="1:13" x14ac:dyDescent="0.25">
      <c r="A137" t="s">
        <v>261</v>
      </c>
      <c r="B137">
        <v>6</v>
      </c>
      <c r="C137" t="s">
        <v>36</v>
      </c>
      <c r="D137" t="s">
        <v>601</v>
      </c>
      <c r="E137" t="s">
        <v>602</v>
      </c>
      <c r="F137" s="1">
        <v>2.199074074074074E-5</v>
      </c>
      <c r="G137" t="s">
        <v>16</v>
      </c>
      <c r="H137">
        <v>3</v>
      </c>
      <c r="I137">
        <v>164</v>
      </c>
      <c r="J137">
        <v>167</v>
      </c>
      <c r="L137" t="s">
        <v>17</v>
      </c>
      <c r="M137" s="3">
        <f t="shared" si="29"/>
        <v>1.8700002925470471</v>
      </c>
    </row>
    <row r="138" spans="1:13" x14ac:dyDescent="0.25">
      <c r="A138" t="s">
        <v>261</v>
      </c>
      <c r="B138">
        <v>7</v>
      </c>
      <c r="C138" t="s">
        <v>36</v>
      </c>
      <c r="D138" t="s">
        <v>603</v>
      </c>
      <c r="E138" t="s">
        <v>604</v>
      </c>
      <c r="F138" s="1">
        <v>2.4305555555555558E-5</v>
      </c>
      <c r="G138" t="s">
        <v>16</v>
      </c>
      <c r="H138">
        <v>3</v>
      </c>
      <c r="I138">
        <v>164</v>
      </c>
      <c r="J138">
        <v>167</v>
      </c>
      <c r="L138" t="s">
        <v>17</v>
      </c>
      <c r="M138" s="3">
        <f t="shared" si="29"/>
        <v>2.1099997451528907</v>
      </c>
    </row>
    <row r="139" spans="1:13" x14ac:dyDescent="0.25">
      <c r="A139" t="s">
        <v>261</v>
      </c>
      <c r="B139">
        <v>8</v>
      </c>
      <c r="C139" t="s">
        <v>36</v>
      </c>
      <c r="D139" t="s">
        <v>605</v>
      </c>
      <c r="E139" t="s">
        <v>606</v>
      </c>
      <c r="F139" s="1">
        <v>1.6203703703703704E-5</v>
      </c>
      <c r="G139" t="s">
        <v>16</v>
      </c>
      <c r="H139">
        <v>3</v>
      </c>
      <c r="I139">
        <v>164</v>
      </c>
      <c r="J139">
        <v>167</v>
      </c>
      <c r="L139" t="s">
        <v>17</v>
      </c>
      <c r="M139" s="3">
        <f t="shared" si="29"/>
        <v>1.3600000413134694</v>
      </c>
    </row>
    <row r="140" spans="1:13" x14ac:dyDescent="0.25">
      <c r="A140" t="s">
        <v>261</v>
      </c>
      <c r="B140">
        <v>9</v>
      </c>
      <c r="C140" t="s">
        <v>36</v>
      </c>
      <c r="D140" t="s">
        <v>607</v>
      </c>
      <c r="E140" t="s">
        <v>608</v>
      </c>
      <c r="F140" s="1">
        <v>1.5046296296296297E-5</v>
      </c>
      <c r="G140" t="s">
        <v>16</v>
      </c>
      <c r="H140">
        <v>3</v>
      </c>
      <c r="I140">
        <v>164</v>
      </c>
      <c r="J140">
        <v>167</v>
      </c>
      <c r="L140" t="s">
        <v>17</v>
      </c>
      <c r="M140" s="3">
        <f t="shared" si="29"/>
        <v>1.2830001069232821</v>
      </c>
    </row>
    <row r="141" spans="1:13" x14ac:dyDescent="0.25">
      <c r="A141" t="s">
        <v>261</v>
      </c>
      <c r="B141">
        <v>10</v>
      </c>
      <c r="C141" t="s">
        <v>36</v>
      </c>
      <c r="D141" t="s">
        <v>609</v>
      </c>
      <c r="E141" t="s">
        <v>610</v>
      </c>
      <c r="F141" s="1">
        <v>1.3888888888888888E-5</v>
      </c>
      <c r="G141" t="s">
        <v>16</v>
      </c>
      <c r="H141">
        <v>3</v>
      </c>
      <c r="I141">
        <v>164</v>
      </c>
      <c r="J141">
        <v>167</v>
      </c>
      <c r="L141" t="s">
        <v>17</v>
      </c>
      <c r="M141" s="3">
        <f t="shared" si="29"/>
        <v>1.1879996163770556</v>
      </c>
    </row>
    <row r="142" spans="1:13" x14ac:dyDescent="0.25">
      <c r="A142" t="s">
        <v>261</v>
      </c>
      <c r="B142">
        <v>1</v>
      </c>
      <c r="C142" t="s">
        <v>57</v>
      </c>
      <c r="D142" t="s">
        <v>611</v>
      </c>
      <c r="E142" t="s">
        <v>612</v>
      </c>
      <c r="F142" s="1">
        <v>3.2407407407407408E-5</v>
      </c>
      <c r="G142" t="s">
        <v>16</v>
      </c>
      <c r="H142">
        <v>3</v>
      </c>
      <c r="I142">
        <v>125</v>
      </c>
      <c r="J142">
        <v>128</v>
      </c>
      <c r="L142" t="s">
        <v>17</v>
      </c>
      <c r="M142" s="3">
        <f t="shared" si="29"/>
        <v>2.8479999164119363</v>
      </c>
    </row>
    <row r="143" spans="1:13" x14ac:dyDescent="0.25">
      <c r="A143" t="s">
        <v>261</v>
      </c>
      <c r="B143">
        <v>2</v>
      </c>
      <c r="C143" t="s">
        <v>57</v>
      </c>
      <c r="D143" t="s">
        <v>613</v>
      </c>
      <c r="E143" t="s">
        <v>614</v>
      </c>
      <c r="F143" s="1">
        <v>2.0833333333333333E-5</v>
      </c>
      <c r="G143" t="s">
        <v>16</v>
      </c>
      <c r="H143">
        <v>3</v>
      </c>
      <c r="I143">
        <v>125</v>
      </c>
      <c r="J143">
        <v>128</v>
      </c>
      <c r="L143" t="s">
        <v>17</v>
      </c>
      <c r="M143" s="3">
        <f t="shared" si="29"/>
        <v>1.8140001688152552</v>
      </c>
    </row>
    <row r="144" spans="1:13" x14ac:dyDescent="0.25">
      <c r="A144" t="s">
        <v>261</v>
      </c>
      <c r="B144">
        <v>3</v>
      </c>
      <c r="C144" t="s">
        <v>57</v>
      </c>
      <c r="D144" t="s">
        <v>615</v>
      </c>
      <c r="E144" t="s">
        <v>616</v>
      </c>
      <c r="F144" s="1">
        <v>3.7037037037037037E-5</v>
      </c>
      <c r="G144" t="s">
        <v>16</v>
      </c>
      <c r="H144">
        <v>3</v>
      </c>
      <c r="I144">
        <v>125</v>
      </c>
      <c r="J144">
        <v>128</v>
      </c>
      <c r="L144" t="s">
        <v>17</v>
      </c>
      <c r="M144" s="3">
        <f t="shared" si="29"/>
        <v>3.164999932050705</v>
      </c>
    </row>
    <row r="145" spans="1:13" x14ac:dyDescent="0.25">
      <c r="A145" t="s">
        <v>261</v>
      </c>
      <c r="B145">
        <v>4</v>
      </c>
      <c r="C145" t="s">
        <v>57</v>
      </c>
      <c r="D145" t="s">
        <v>617</v>
      </c>
      <c r="E145" t="s">
        <v>618</v>
      </c>
      <c r="F145" s="1">
        <v>4.2824074074074079E-5</v>
      </c>
      <c r="G145" t="s">
        <v>16</v>
      </c>
      <c r="H145">
        <v>3</v>
      </c>
      <c r="I145">
        <v>125</v>
      </c>
      <c r="J145">
        <v>128</v>
      </c>
      <c r="L145" t="s">
        <v>17</v>
      </c>
      <c r="M145" s="3">
        <f t="shared" si="29"/>
        <v>3.697999706491828</v>
      </c>
    </row>
    <row r="146" spans="1:13" x14ac:dyDescent="0.25">
      <c r="A146" t="s">
        <v>261</v>
      </c>
      <c r="B146">
        <v>5</v>
      </c>
      <c r="C146" t="s">
        <v>57</v>
      </c>
      <c r="D146" t="s">
        <v>619</v>
      </c>
      <c r="E146" t="s">
        <v>620</v>
      </c>
      <c r="F146" s="1">
        <v>2.0833333333333333E-5</v>
      </c>
      <c r="G146" t="s">
        <v>16</v>
      </c>
      <c r="H146">
        <v>3</v>
      </c>
      <c r="I146">
        <v>125</v>
      </c>
      <c r="J146">
        <v>128</v>
      </c>
      <c r="L146" t="s">
        <v>17</v>
      </c>
      <c r="M146" s="3">
        <f t="shared" si="29"/>
        <v>1.764999981969595</v>
      </c>
    </row>
    <row r="147" spans="1:13" x14ac:dyDescent="0.25">
      <c r="A147" t="s">
        <v>261</v>
      </c>
      <c r="B147">
        <v>6</v>
      </c>
      <c r="C147" t="s">
        <v>57</v>
      </c>
      <c r="D147" t="s">
        <v>621</v>
      </c>
      <c r="E147" t="s">
        <v>622</v>
      </c>
      <c r="F147" s="1">
        <v>2.199074074074074E-5</v>
      </c>
      <c r="G147" t="s">
        <v>16</v>
      </c>
      <c r="H147">
        <v>3</v>
      </c>
      <c r="I147">
        <v>125</v>
      </c>
      <c r="J147">
        <v>128</v>
      </c>
      <c r="L147" t="s">
        <v>17</v>
      </c>
      <c r="M147" s="3">
        <f t="shared" si="29"/>
        <v>1.8710004631429911</v>
      </c>
    </row>
    <row r="148" spans="1:13" x14ac:dyDescent="0.25">
      <c r="A148" t="s">
        <v>261</v>
      </c>
      <c r="B148">
        <v>7</v>
      </c>
      <c r="C148" t="s">
        <v>57</v>
      </c>
      <c r="D148" t="s">
        <v>623</v>
      </c>
      <c r="E148" t="s">
        <v>624</v>
      </c>
      <c r="F148" s="1">
        <v>1.9675925925925925E-5</v>
      </c>
      <c r="G148" t="s">
        <v>16</v>
      </c>
      <c r="H148">
        <v>3</v>
      </c>
      <c r="I148">
        <v>125</v>
      </c>
      <c r="J148">
        <v>128</v>
      </c>
      <c r="L148" t="s">
        <v>17</v>
      </c>
      <c r="M148" s="3">
        <f t="shared" si="29"/>
        <v>1.7409996595233679</v>
      </c>
    </row>
    <row r="149" spans="1:13" x14ac:dyDescent="0.25">
      <c r="A149" t="s">
        <v>261</v>
      </c>
      <c r="B149">
        <v>8</v>
      </c>
      <c r="C149" t="s">
        <v>57</v>
      </c>
      <c r="D149" t="s">
        <v>625</v>
      </c>
      <c r="E149" t="s">
        <v>626</v>
      </c>
      <c r="F149" s="1">
        <v>1.6203703703703704E-5</v>
      </c>
      <c r="G149" t="s">
        <v>16</v>
      </c>
      <c r="H149">
        <v>3</v>
      </c>
      <c r="I149">
        <v>125</v>
      </c>
      <c r="J149">
        <v>128</v>
      </c>
      <c r="L149" t="s">
        <v>17</v>
      </c>
      <c r="M149" s="3">
        <f t="shared" si="29"/>
        <v>1.4020002912729979</v>
      </c>
    </row>
    <row r="150" spans="1:13" x14ac:dyDescent="0.25">
      <c r="A150" t="s">
        <v>261</v>
      </c>
      <c r="B150">
        <v>9</v>
      </c>
      <c r="C150" t="s">
        <v>57</v>
      </c>
      <c r="D150" t="s">
        <v>627</v>
      </c>
      <c r="E150" t="s">
        <v>628</v>
      </c>
      <c r="F150" s="1">
        <v>1.3888888888888888E-5</v>
      </c>
      <c r="G150" t="s">
        <v>16</v>
      </c>
      <c r="H150">
        <v>3</v>
      </c>
      <c r="I150">
        <v>125</v>
      </c>
      <c r="J150">
        <v>128</v>
      </c>
      <c r="L150" t="s">
        <v>17</v>
      </c>
      <c r="M150" s="3">
        <f t="shared" si="29"/>
        <v>1.1950001819059253</v>
      </c>
    </row>
    <row r="151" spans="1:13" x14ac:dyDescent="0.25">
      <c r="A151" t="s">
        <v>261</v>
      </c>
      <c r="B151">
        <v>10</v>
      </c>
      <c r="C151" t="s">
        <v>57</v>
      </c>
      <c r="D151" t="s">
        <v>629</v>
      </c>
      <c r="E151" t="s">
        <v>630</v>
      </c>
      <c r="F151" s="1">
        <v>2.0833333333333333E-5</v>
      </c>
      <c r="G151" t="s">
        <v>16</v>
      </c>
      <c r="H151">
        <v>3</v>
      </c>
      <c r="I151">
        <v>125</v>
      </c>
      <c r="J151">
        <v>128</v>
      </c>
      <c r="L151" t="s">
        <v>17</v>
      </c>
      <c r="M151" s="3">
        <f t="shared" si="29"/>
        <v>1.8159998813644052</v>
      </c>
    </row>
    <row r="152" spans="1:13" x14ac:dyDescent="0.25">
      <c r="A152" t="s">
        <v>12</v>
      </c>
      <c r="B152">
        <v>1</v>
      </c>
      <c r="C152" t="s">
        <v>13</v>
      </c>
      <c r="D152" t="s">
        <v>14</v>
      </c>
      <c r="E152" t="s">
        <v>15</v>
      </c>
      <c r="F152" s="1">
        <v>1.5046296296296297E-5</v>
      </c>
      <c r="G152" t="s">
        <v>16</v>
      </c>
      <c r="H152">
        <v>5</v>
      </c>
      <c r="I152">
        <v>81</v>
      </c>
      <c r="J152">
        <v>86</v>
      </c>
      <c r="L152" t="s">
        <v>17</v>
      </c>
      <c r="M152" s="3">
        <f t="shared" si="29"/>
        <v>1.2640000088140368</v>
      </c>
    </row>
    <row r="153" spans="1:13" x14ac:dyDescent="0.25">
      <c r="A153" t="s">
        <v>12</v>
      </c>
      <c r="B153">
        <v>2</v>
      </c>
      <c r="C153" t="s">
        <v>13</v>
      </c>
      <c r="D153" t="s">
        <v>18</v>
      </c>
      <c r="E153" t="s">
        <v>19</v>
      </c>
      <c r="F153" s="1">
        <v>1.8518518518518518E-5</v>
      </c>
      <c r="G153" t="s">
        <v>16</v>
      </c>
      <c r="H153">
        <v>5</v>
      </c>
      <c r="I153">
        <v>81</v>
      </c>
      <c r="J153">
        <v>86</v>
      </c>
      <c r="L153" t="s">
        <v>17</v>
      </c>
      <c r="M153" s="3">
        <f t="shared" si="29"/>
        <v>1.0609999531880021</v>
      </c>
    </row>
    <row r="154" spans="1:13" x14ac:dyDescent="0.25">
      <c r="A154" t="s">
        <v>12</v>
      </c>
      <c r="B154">
        <v>3</v>
      </c>
      <c r="C154" t="s">
        <v>13</v>
      </c>
      <c r="D154" t="s">
        <v>20</v>
      </c>
      <c r="E154" t="s">
        <v>21</v>
      </c>
      <c r="F154" s="1">
        <v>1.7361111111111111E-5</v>
      </c>
      <c r="G154" t="s">
        <v>16</v>
      </c>
      <c r="H154">
        <v>5</v>
      </c>
      <c r="I154">
        <v>81</v>
      </c>
      <c r="J154">
        <v>86</v>
      </c>
      <c r="L154" t="s">
        <v>17</v>
      </c>
      <c r="M154" s="3">
        <f t="shared" si="29"/>
        <v>1.0499999625608325</v>
      </c>
    </row>
    <row r="155" spans="1:13" x14ac:dyDescent="0.25">
      <c r="A155" t="s">
        <v>12</v>
      </c>
      <c r="B155">
        <v>4</v>
      </c>
      <c r="C155" t="s">
        <v>13</v>
      </c>
      <c r="D155" t="s">
        <v>22</v>
      </c>
      <c r="E155" t="s">
        <v>23</v>
      </c>
      <c r="F155" s="1">
        <v>1.9675925925925925E-5</v>
      </c>
      <c r="G155" t="s">
        <v>16</v>
      </c>
      <c r="H155">
        <v>5</v>
      </c>
      <c r="I155">
        <v>81</v>
      </c>
      <c r="J155">
        <v>86</v>
      </c>
      <c r="L155" t="s">
        <v>17</v>
      </c>
      <c r="M155" s="3">
        <f t="shared" si="29"/>
        <v>1.0069995420053601</v>
      </c>
    </row>
    <row r="156" spans="1:13" x14ac:dyDescent="0.25">
      <c r="A156" t="s">
        <v>12</v>
      </c>
      <c r="B156">
        <v>5</v>
      </c>
      <c r="C156" t="s">
        <v>13</v>
      </c>
      <c r="D156" t="s">
        <v>24</v>
      </c>
      <c r="E156" t="s">
        <v>25</v>
      </c>
      <c r="F156" s="1">
        <v>1.5046296296296297E-5</v>
      </c>
      <c r="G156" t="s">
        <v>16</v>
      </c>
      <c r="H156">
        <v>5</v>
      </c>
      <c r="I156">
        <v>81</v>
      </c>
      <c r="J156">
        <v>86</v>
      </c>
      <c r="L156" t="s">
        <v>17</v>
      </c>
      <c r="M156" s="3">
        <f t="shared" si="29"/>
        <v>1.0310004930943251</v>
      </c>
    </row>
    <row r="157" spans="1:13" x14ac:dyDescent="0.25">
      <c r="A157" t="s">
        <v>12</v>
      </c>
      <c r="B157">
        <v>6</v>
      </c>
      <c r="C157" t="s">
        <v>13</v>
      </c>
      <c r="D157" t="s">
        <v>26</v>
      </c>
      <c r="E157" t="s">
        <v>27</v>
      </c>
      <c r="F157" s="1">
        <v>1.2731481481481482E-5</v>
      </c>
      <c r="G157" t="s">
        <v>16</v>
      </c>
      <c r="H157">
        <v>5</v>
      </c>
      <c r="I157">
        <v>81</v>
      </c>
      <c r="J157">
        <v>86</v>
      </c>
      <c r="L157" t="s">
        <v>17</v>
      </c>
      <c r="M157" s="3">
        <f t="shared" si="29"/>
        <v>1.0120003949850798</v>
      </c>
    </row>
    <row r="158" spans="1:13" x14ac:dyDescent="0.25">
      <c r="A158" t="s">
        <v>12</v>
      </c>
      <c r="B158">
        <v>7</v>
      </c>
      <c r="C158" t="s">
        <v>13</v>
      </c>
      <c r="D158" t="s">
        <v>28</v>
      </c>
      <c r="E158" t="s">
        <v>29</v>
      </c>
      <c r="F158" s="1">
        <v>1.7361111111111111E-5</v>
      </c>
      <c r="G158" t="s">
        <v>16</v>
      </c>
      <c r="H158">
        <v>5</v>
      </c>
      <c r="I158">
        <v>81</v>
      </c>
      <c r="J158">
        <v>86</v>
      </c>
      <c r="L158" t="s">
        <v>17</v>
      </c>
      <c r="M158" s="3">
        <f t="shared" si="29"/>
        <v>1.0499999625608325</v>
      </c>
    </row>
    <row r="159" spans="1:13" x14ac:dyDescent="0.25">
      <c r="A159" t="s">
        <v>12</v>
      </c>
      <c r="B159">
        <v>8</v>
      </c>
      <c r="C159" t="s">
        <v>13</v>
      </c>
      <c r="D159" t="s">
        <v>30</v>
      </c>
      <c r="E159" t="s">
        <v>31</v>
      </c>
      <c r="F159" s="1">
        <v>1.1574074074074073E-5</v>
      </c>
      <c r="G159" t="s">
        <v>16</v>
      </c>
      <c r="H159">
        <v>5</v>
      </c>
      <c r="I159">
        <v>81</v>
      </c>
      <c r="J159">
        <v>86</v>
      </c>
      <c r="L159" t="s">
        <v>17</v>
      </c>
      <c r="M159" s="3">
        <f t="shared" si="29"/>
        <v>0.99800052121281624</v>
      </c>
    </row>
    <row r="160" spans="1:13" x14ac:dyDescent="0.25">
      <c r="A160" t="s">
        <v>12</v>
      </c>
      <c r="B160">
        <v>9</v>
      </c>
      <c r="C160" t="s">
        <v>13</v>
      </c>
      <c r="D160" t="s">
        <v>32</v>
      </c>
      <c r="E160" t="s">
        <v>33</v>
      </c>
      <c r="F160" s="1">
        <v>1.6203703703703704E-5</v>
      </c>
      <c r="G160" t="s">
        <v>16</v>
      </c>
      <c r="H160">
        <v>5</v>
      </c>
      <c r="I160">
        <v>81</v>
      </c>
      <c r="J160">
        <v>86</v>
      </c>
      <c r="L160" t="s">
        <v>17</v>
      </c>
      <c r="M160" s="3">
        <f t="shared" si="29"/>
        <v>1.0400001425296068</v>
      </c>
    </row>
    <row r="161" spans="1:13" x14ac:dyDescent="0.25">
      <c r="A161" t="s">
        <v>12</v>
      </c>
      <c r="B161">
        <v>10</v>
      </c>
      <c r="C161" t="s">
        <v>13</v>
      </c>
      <c r="D161" t="s">
        <v>34</v>
      </c>
      <c r="E161" t="s">
        <v>35</v>
      </c>
      <c r="F161" s="1">
        <v>1.7361111111111111E-5</v>
      </c>
      <c r="G161" t="s">
        <v>16</v>
      </c>
      <c r="H161">
        <v>5</v>
      </c>
      <c r="I161">
        <v>81</v>
      </c>
      <c r="J161">
        <v>86</v>
      </c>
      <c r="L161" t="s">
        <v>17</v>
      </c>
      <c r="M161" s="3">
        <f t="shared" si="29"/>
        <v>1.0540000163018703</v>
      </c>
    </row>
    <row r="162" spans="1:13" x14ac:dyDescent="0.25">
      <c r="A162" t="s">
        <v>12</v>
      </c>
      <c r="B162">
        <v>1</v>
      </c>
      <c r="C162" t="s">
        <v>36</v>
      </c>
      <c r="D162" t="s">
        <v>37</v>
      </c>
      <c r="E162" t="s">
        <v>38</v>
      </c>
      <c r="F162" s="1">
        <v>1.5046296296296297E-5</v>
      </c>
      <c r="G162" t="s">
        <v>16</v>
      </c>
      <c r="H162">
        <v>5</v>
      </c>
      <c r="I162">
        <v>173</v>
      </c>
      <c r="J162">
        <v>178</v>
      </c>
      <c r="L162" t="s">
        <v>17</v>
      </c>
      <c r="M162" s="3">
        <f t="shared" si="29"/>
        <v>1.3239995576441288</v>
      </c>
    </row>
    <row r="163" spans="1:13" x14ac:dyDescent="0.25">
      <c r="A163" t="s">
        <v>12</v>
      </c>
      <c r="B163">
        <v>2</v>
      </c>
      <c r="C163" t="s">
        <v>36</v>
      </c>
      <c r="D163" t="s">
        <v>39</v>
      </c>
      <c r="E163" t="s">
        <v>40</v>
      </c>
      <c r="F163" s="1">
        <v>1.2731481481481482E-5</v>
      </c>
      <c r="G163" t="s">
        <v>16</v>
      </c>
      <c r="H163">
        <v>5</v>
      </c>
      <c r="I163">
        <v>173</v>
      </c>
      <c r="J163">
        <v>178</v>
      </c>
      <c r="L163" t="s">
        <v>17</v>
      </c>
      <c r="M163" s="3">
        <f t="shared" si="29"/>
        <v>1.121999672614038</v>
      </c>
    </row>
    <row r="164" spans="1:13" x14ac:dyDescent="0.25">
      <c r="A164" t="s">
        <v>12</v>
      </c>
      <c r="B164">
        <v>3</v>
      </c>
      <c r="C164" t="s">
        <v>36</v>
      </c>
      <c r="D164" t="s">
        <v>41</v>
      </c>
      <c r="E164" t="s">
        <v>42</v>
      </c>
      <c r="F164" s="1">
        <v>2.3148148148148147E-5</v>
      </c>
      <c r="G164" t="s">
        <v>16</v>
      </c>
      <c r="H164">
        <v>5</v>
      </c>
      <c r="I164">
        <v>173</v>
      </c>
      <c r="J164">
        <v>178</v>
      </c>
      <c r="L164" t="s">
        <v>17</v>
      </c>
      <c r="M164" s="3">
        <f t="shared" si="29"/>
        <v>1.0989995207637548</v>
      </c>
    </row>
    <row r="165" spans="1:13" x14ac:dyDescent="0.25">
      <c r="A165" t="s">
        <v>12</v>
      </c>
      <c r="B165">
        <v>4</v>
      </c>
      <c r="C165" t="s">
        <v>36</v>
      </c>
      <c r="D165" t="s">
        <v>43</v>
      </c>
      <c r="E165" t="s">
        <v>44</v>
      </c>
      <c r="F165" s="1">
        <v>1.2731481481481482E-5</v>
      </c>
      <c r="G165" t="s">
        <v>16</v>
      </c>
      <c r="H165">
        <v>5</v>
      </c>
      <c r="I165">
        <v>173</v>
      </c>
      <c r="J165">
        <v>178</v>
      </c>
      <c r="L165" t="s">
        <v>17</v>
      </c>
      <c r="M165" s="3">
        <f t="shared" si="29"/>
        <v>1.1250001844018698</v>
      </c>
    </row>
    <row r="166" spans="1:13" x14ac:dyDescent="0.25">
      <c r="A166" t="s">
        <v>12</v>
      </c>
      <c r="B166">
        <v>5</v>
      </c>
      <c r="C166" t="s">
        <v>36</v>
      </c>
      <c r="D166" t="s">
        <v>45</v>
      </c>
      <c r="E166" t="s">
        <v>46</v>
      </c>
      <c r="F166" s="1">
        <v>2.199074074074074E-5</v>
      </c>
      <c r="G166" t="s">
        <v>16</v>
      </c>
      <c r="H166">
        <v>5</v>
      </c>
      <c r="I166">
        <v>173</v>
      </c>
      <c r="J166">
        <v>178</v>
      </c>
      <c r="L166" t="s">
        <v>17</v>
      </c>
      <c r="M166" s="3">
        <f t="shared" si="29"/>
        <v>1.092999754473567</v>
      </c>
    </row>
    <row r="167" spans="1:13" x14ac:dyDescent="0.25">
      <c r="A167" t="s">
        <v>12</v>
      </c>
      <c r="B167">
        <v>6</v>
      </c>
      <c r="C167" t="s">
        <v>36</v>
      </c>
      <c r="D167" t="s">
        <v>47</v>
      </c>
      <c r="E167" t="s">
        <v>48</v>
      </c>
      <c r="F167" s="1">
        <v>1.5046296296296297E-5</v>
      </c>
      <c r="G167" t="s">
        <v>16</v>
      </c>
      <c r="H167">
        <v>5</v>
      </c>
      <c r="I167">
        <v>173</v>
      </c>
      <c r="J167">
        <v>178</v>
      </c>
      <c r="L167" t="s">
        <v>17</v>
      </c>
      <c r="M167" s="3">
        <f t="shared" si="29"/>
        <v>1.2690002331510186</v>
      </c>
    </row>
    <row r="168" spans="1:13" x14ac:dyDescent="0.25">
      <c r="A168" t="s">
        <v>12</v>
      </c>
      <c r="B168">
        <v>7</v>
      </c>
      <c r="C168" t="s">
        <v>36</v>
      </c>
      <c r="D168" t="s">
        <v>49</v>
      </c>
      <c r="E168" t="s">
        <v>50</v>
      </c>
      <c r="F168" s="1">
        <v>1.8518518518518518E-5</v>
      </c>
      <c r="G168" t="s">
        <v>16</v>
      </c>
      <c r="H168">
        <v>5</v>
      </c>
      <c r="I168">
        <v>173</v>
      </c>
      <c r="J168">
        <v>178</v>
      </c>
      <c r="L168" t="s">
        <v>17</v>
      </c>
      <c r="M168" s="3">
        <f t="shared" si="29"/>
        <v>1.0619994951412082</v>
      </c>
    </row>
    <row r="169" spans="1:13" x14ac:dyDescent="0.25">
      <c r="A169" t="s">
        <v>12</v>
      </c>
      <c r="B169">
        <v>8</v>
      </c>
      <c r="C169" t="s">
        <v>36</v>
      </c>
      <c r="D169" t="s">
        <v>51</v>
      </c>
      <c r="E169" t="s">
        <v>52</v>
      </c>
      <c r="F169" s="1">
        <v>1.9675925925925925E-5</v>
      </c>
      <c r="G169" t="s">
        <v>16</v>
      </c>
      <c r="H169">
        <v>5</v>
      </c>
      <c r="I169">
        <v>173</v>
      </c>
      <c r="J169">
        <v>178</v>
      </c>
      <c r="L169" t="s">
        <v>17</v>
      </c>
      <c r="M169" s="3">
        <f t="shared" si="29"/>
        <v>1.06500000692904</v>
      </c>
    </row>
    <row r="170" spans="1:13" x14ac:dyDescent="0.25">
      <c r="A170" t="s">
        <v>12</v>
      </c>
      <c r="B170">
        <v>9</v>
      </c>
      <c r="C170" t="s">
        <v>36</v>
      </c>
      <c r="D170" t="s">
        <v>53</v>
      </c>
      <c r="E170" t="s">
        <v>54</v>
      </c>
      <c r="F170" s="1">
        <v>1.8518518518518518E-5</v>
      </c>
      <c r="G170" t="s">
        <v>16</v>
      </c>
      <c r="H170">
        <v>5</v>
      </c>
      <c r="I170">
        <v>173</v>
      </c>
      <c r="J170">
        <v>178</v>
      </c>
      <c r="L170" t="s">
        <v>17</v>
      </c>
      <c r="M170" s="3">
        <f t="shared" si="29"/>
        <v>1.0609999531880021</v>
      </c>
    </row>
    <row r="171" spans="1:13" x14ac:dyDescent="0.25">
      <c r="A171" t="s">
        <v>12</v>
      </c>
      <c r="B171">
        <v>10</v>
      </c>
      <c r="C171" t="s">
        <v>36</v>
      </c>
      <c r="D171" t="s">
        <v>55</v>
      </c>
      <c r="E171" t="s">
        <v>56</v>
      </c>
      <c r="F171" s="1">
        <v>1.5046296296296297E-5</v>
      </c>
      <c r="G171" t="s">
        <v>16</v>
      </c>
      <c r="H171">
        <v>5</v>
      </c>
      <c r="I171">
        <v>173</v>
      </c>
      <c r="J171">
        <v>178</v>
      </c>
      <c r="L171" t="s">
        <v>17</v>
      </c>
      <c r="M171" s="3">
        <f t="shared" si="29"/>
        <v>1.2540001887828112</v>
      </c>
    </row>
    <row r="172" spans="1:13" x14ac:dyDescent="0.25">
      <c r="A172" t="s">
        <v>12</v>
      </c>
      <c r="B172">
        <v>1</v>
      </c>
      <c r="C172" t="s">
        <v>57</v>
      </c>
      <c r="D172" t="s">
        <v>58</v>
      </c>
      <c r="E172" t="s">
        <v>59</v>
      </c>
      <c r="F172" s="1">
        <v>1.2731481481481482E-5</v>
      </c>
      <c r="G172" t="s">
        <v>16</v>
      </c>
      <c r="H172">
        <v>5</v>
      </c>
      <c r="I172">
        <v>108</v>
      </c>
      <c r="J172">
        <v>113</v>
      </c>
      <c r="L172" t="s">
        <v>17</v>
      </c>
      <c r="M172" s="3">
        <f t="shared" si="29"/>
        <v>1.1210001306608319</v>
      </c>
    </row>
    <row r="173" spans="1:13" x14ac:dyDescent="0.25">
      <c r="A173" t="s">
        <v>12</v>
      </c>
      <c r="B173">
        <v>2</v>
      </c>
      <c r="C173" t="s">
        <v>57</v>
      </c>
      <c r="D173" t="s">
        <v>60</v>
      </c>
      <c r="E173" t="s">
        <v>61</v>
      </c>
      <c r="F173" s="1">
        <v>1.2731481481481482E-5</v>
      </c>
      <c r="G173" t="s">
        <v>16</v>
      </c>
      <c r="H173">
        <v>5</v>
      </c>
      <c r="I173">
        <v>108</v>
      </c>
      <c r="J173">
        <v>113</v>
      </c>
      <c r="L173" t="s">
        <v>17</v>
      </c>
      <c r="M173" s="3">
        <f t="shared" si="29"/>
        <v>1.1309999506920576</v>
      </c>
    </row>
    <row r="174" spans="1:13" x14ac:dyDescent="0.25">
      <c r="A174" t="s">
        <v>12</v>
      </c>
      <c r="B174">
        <v>3</v>
      </c>
      <c r="C174" t="s">
        <v>57</v>
      </c>
      <c r="D174" t="s">
        <v>62</v>
      </c>
      <c r="E174" t="s">
        <v>63</v>
      </c>
      <c r="F174" s="1">
        <v>1.6203703703703704E-5</v>
      </c>
      <c r="G174" t="s">
        <v>16</v>
      </c>
      <c r="H174">
        <v>5</v>
      </c>
      <c r="I174">
        <v>108</v>
      </c>
      <c r="J174">
        <v>113</v>
      </c>
      <c r="L174" t="s">
        <v>17</v>
      </c>
      <c r="M174" s="3">
        <f t="shared" si="29"/>
        <v>1.0370002593845129</v>
      </c>
    </row>
    <row r="175" spans="1:13" x14ac:dyDescent="0.25">
      <c r="A175" t="s">
        <v>12</v>
      </c>
      <c r="B175">
        <v>4</v>
      </c>
      <c r="C175" t="s">
        <v>57</v>
      </c>
      <c r="D175" t="s">
        <v>64</v>
      </c>
      <c r="E175" t="s">
        <v>65</v>
      </c>
      <c r="F175" s="1">
        <v>1.7361111111111111E-5</v>
      </c>
      <c r="G175" t="s">
        <v>16</v>
      </c>
      <c r="H175">
        <v>5</v>
      </c>
      <c r="I175">
        <v>108</v>
      </c>
      <c r="J175">
        <v>113</v>
      </c>
      <c r="L175" t="s">
        <v>17</v>
      </c>
      <c r="M175" s="3">
        <f t="shared" si="29"/>
        <v>1.5200003050267696</v>
      </c>
    </row>
    <row r="176" spans="1:13" x14ac:dyDescent="0.25">
      <c r="A176" t="s">
        <v>12</v>
      </c>
      <c r="B176">
        <v>5</v>
      </c>
      <c r="C176" t="s">
        <v>57</v>
      </c>
      <c r="D176" t="s">
        <v>66</v>
      </c>
      <c r="E176" t="s">
        <v>67</v>
      </c>
      <c r="F176" s="1">
        <v>2.0833333333333333E-5</v>
      </c>
      <c r="G176" t="s">
        <v>16</v>
      </c>
      <c r="H176">
        <v>5</v>
      </c>
      <c r="I176">
        <v>108</v>
      </c>
      <c r="J176">
        <v>113</v>
      </c>
      <c r="L176" t="s">
        <v>17</v>
      </c>
      <c r="M176" s="3">
        <f t="shared" si="29"/>
        <v>1.0809995932504535</v>
      </c>
    </row>
    <row r="177" spans="1:13" x14ac:dyDescent="0.25">
      <c r="A177" t="s">
        <v>12</v>
      </c>
      <c r="B177">
        <v>6</v>
      </c>
      <c r="C177" t="s">
        <v>57</v>
      </c>
      <c r="D177" t="s">
        <v>68</v>
      </c>
      <c r="E177" t="s">
        <v>69</v>
      </c>
      <c r="F177" s="1">
        <v>1.7361111111111111E-5</v>
      </c>
      <c r="G177" t="s">
        <v>16</v>
      </c>
      <c r="H177">
        <v>5</v>
      </c>
      <c r="I177">
        <v>108</v>
      </c>
      <c r="J177">
        <v>113</v>
      </c>
      <c r="L177" t="s">
        <v>17</v>
      </c>
      <c r="M177" s="3">
        <f t="shared" si="29"/>
        <v>1.0480002500116825</v>
      </c>
    </row>
    <row r="178" spans="1:13" x14ac:dyDescent="0.25">
      <c r="A178" t="s">
        <v>12</v>
      </c>
      <c r="B178">
        <v>7</v>
      </c>
      <c r="C178" t="s">
        <v>57</v>
      </c>
      <c r="D178" t="s">
        <v>70</v>
      </c>
      <c r="E178" t="s">
        <v>71</v>
      </c>
      <c r="F178" s="1">
        <v>1.2731481481481482E-5</v>
      </c>
      <c r="G178" t="s">
        <v>16</v>
      </c>
      <c r="H178">
        <v>5</v>
      </c>
      <c r="I178">
        <v>108</v>
      </c>
      <c r="J178">
        <v>113</v>
      </c>
      <c r="L178" t="s">
        <v>17</v>
      </c>
      <c r="M178" s="3">
        <f t="shared" si="29"/>
        <v>1.1200005887076259</v>
      </c>
    </row>
    <row r="179" spans="1:13" x14ac:dyDescent="0.25">
      <c r="A179" t="s">
        <v>12</v>
      </c>
      <c r="B179">
        <v>8</v>
      </c>
      <c r="C179" t="s">
        <v>57</v>
      </c>
      <c r="D179" t="s">
        <v>72</v>
      </c>
      <c r="E179" t="s">
        <v>73</v>
      </c>
      <c r="F179" s="1">
        <v>1.9675925925925925E-5</v>
      </c>
      <c r="G179" t="s">
        <v>16</v>
      </c>
      <c r="H179">
        <v>5</v>
      </c>
      <c r="I179">
        <v>108</v>
      </c>
      <c r="J179">
        <v>113</v>
      </c>
      <c r="L179" t="s">
        <v>17</v>
      </c>
      <c r="M179" s="3">
        <f t="shared" si="29"/>
        <v>1.0729994857683778</v>
      </c>
    </row>
    <row r="180" spans="1:13" x14ac:dyDescent="0.25">
      <c r="A180" t="s">
        <v>12</v>
      </c>
      <c r="B180">
        <v>9</v>
      </c>
      <c r="C180" t="s">
        <v>57</v>
      </c>
      <c r="D180" t="s">
        <v>74</v>
      </c>
      <c r="E180" t="s">
        <v>75</v>
      </c>
      <c r="F180" s="1">
        <v>1.6203703703703704E-5</v>
      </c>
      <c r="G180" t="s">
        <v>16</v>
      </c>
      <c r="H180">
        <v>5</v>
      </c>
      <c r="I180">
        <v>108</v>
      </c>
      <c r="J180">
        <v>113</v>
      </c>
      <c r="L180" t="s">
        <v>17</v>
      </c>
      <c r="M180" s="3">
        <f t="shared" si="29"/>
        <v>1.0430000256747007</v>
      </c>
    </row>
    <row r="181" spans="1:13" x14ac:dyDescent="0.25">
      <c r="A181" t="s">
        <v>12</v>
      </c>
      <c r="B181">
        <v>10</v>
      </c>
      <c r="C181" t="s">
        <v>57</v>
      </c>
      <c r="D181" t="s">
        <v>76</v>
      </c>
      <c r="E181" t="s">
        <v>77</v>
      </c>
      <c r="F181" s="1">
        <v>1.6203703703703704E-5</v>
      </c>
      <c r="G181" t="s">
        <v>16</v>
      </c>
      <c r="H181">
        <v>5</v>
      </c>
      <c r="I181">
        <v>108</v>
      </c>
      <c r="J181">
        <v>113</v>
      </c>
      <c r="L181" t="s">
        <v>17</v>
      </c>
      <c r="M181" s="3">
        <f t="shared" si="29"/>
        <v>1.0370002593845129</v>
      </c>
    </row>
    <row r="182" spans="1:13" x14ac:dyDescent="0.25">
      <c r="A182" t="s">
        <v>78</v>
      </c>
      <c r="B182">
        <v>1</v>
      </c>
      <c r="C182" t="s">
        <v>13</v>
      </c>
      <c r="D182" t="s">
        <v>79</v>
      </c>
      <c r="E182" t="s">
        <v>80</v>
      </c>
      <c r="F182" s="1">
        <v>1.7361111111111111E-5</v>
      </c>
      <c r="G182" t="s">
        <v>16</v>
      </c>
      <c r="H182">
        <v>4</v>
      </c>
      <c r="I182">
        <v>74</v>
      </c>
      <c r="J182">
        <v>78</v>
      </c>
      <c r="L182" t="s">
        <v>17</v>
      </c>
      <c r="M182" s="3">
        <f t="shared" si="29"/>
        <v>1.4989998657256365</v>
      </c>
    </row>
    <row r="183" spans="1:13" x14ac:dyDescent="0.25">
      <c r="A183" t="s">
        <v>78</v>
      </c>
      <c r="B183">
        <v>2</v>
      </c>
      <c r="C183" t="s">
        <v>13</v>
      </c>
      <c r="D183" t="s">
        <v>81</v>
      </c>
      <c r="E183" t="s">
        <v>82</v>
      </c>
      <c r="F183" s="1">
        <v>1.6203703703703704E-5</v>
      </c>
      <c r="G183" t="s">
        <v>16</v>
      </c>
      <c r="H183">
        <v>4</v>
      </c>
      <c r="I183">
        <v>74</v>
      </c>
      <c r="J183">
        <v>78</v>
      </c>
      <c r="L183" t="s">
        <v>17</v>
      </c>
      <c r="M183" s="3">
        <f t="shared" si="29"/>
        <v>1.427000155672431</v>
      </c>
    </row>
    <row r="184" spans="1:13" x14ac:dyDescent="0.25">
      <c r="A184" t="s">
        <v>78</v>
      </c>
      <c r="B184">
        <v>3</v>
      </c>
      <c r="C184" t="s">
        <v>13</v>
      </c>
      <c r="D184" t="s">
        <v>83</v>
      </c>
      <c r="E184" t="s">
        <v>84</v>
      </c>
      <c r="F184" s="1">
        <v>1.7361111111111111E-5</v>
      </c>
      <c r="G184" t="s">
        <v>16</v>
      </c>
      <c r="H184">
        <v>4</v>
      </c>
      <c r="I184">
        <v>74</v>
      </c>
      <c r="J184">
        <v>78</v>
      </c>
      <c r="L184" t="s">
        <v>17</v>
      </c>
      <c r="M184" s="3">
        <f t="shared" si="29"/>
        <v>1.51100002694875</v>
      </c>
    </row>
    <row r="185" spans="1:13" x14ac:dyDescent="0.25">
      <c r="A185" t="s">
        <v>78</v>
      </c>
      <c r="B185">
        <v>4</v>
      </c>
      <c r="C185" t="s">
        <v>13</v>
      </c>
      <c r="D185" t="s">
        <v>85</v>
      </c>
      <c r="E185" t="s">
        <v>86</v>
      </c>
      <c r="F185" s="1">
        <v>1.2731481481481482E-5</v>
      </c>
      <c r="G185" t="s">
        <v>16</v>
      </c>
      <c r="H185">
        <v>4</v>
      </c>
      <c r="I185">
        <v>74</v>
      </c>
      <c r="J185">
        <v>78</v>
      </c>
      <c r="L185" t="s">
        <v>17</v>
      </c>
      <c r="M185" s="3">
        <f t="shared" si="29"/>
        <v>1.1140001937747002</v>
      </c>
    </row>
    <row r="186" spans="1:13" x14ac:dyDescent="0.25">
      <c r="A186" t="s">
        <v>78</v>
      </c>
      <c r="B186">
        <v>5</v>
      </c>
      <c r="C186" t="s">
        <v>13</v>
      </c>
      <c r="D186" t="s">
        <v>87</v>
      </c>
      <c r="E186" t="s">
        <v>88</v>
      </c>
      <c r="F186" s="1">
        <v>1.6203703703703704E-5</v>
      </c>
      <c r="G186" t="s">
        <v>16</v>
      </c>
      <c r="H186">
        <v>4</v>
      </c>
      <c r="I186">
        <v>74</v>
      </c>
      <c r="J186">
        <v>78</v>
      </c>
      <c r="L186" t="s">
        <v>17</v>
      </c>
      <c r="M186" s="3">
        <f t="shared" si="29"/>
        <v>1.4160001650452614</v>
      </c>
    </row>
    <row r="187" spans="1:13" x14ac:dyDescent="0.25">
      <c r="A187" t="s">
        <v>78</v>
      </c>
      <c r="B187">
        <v>6</v>
      </c>
      <c r="C187" t="s">
        <v>13</v>
      </c>
      <c r="D187" t="s">
        <v>89</v>
      </c>
      <c r="E187" t="s">
        <v>90</v>
      </c>
      <c r="F187" s="1">
        <v>1.6203703703703704E-5</v>
      </c>
      <c r="G187" t="s">
        <v>16</v>
      </c>
      <c r="H187">
        <v>4</v>
      </c>
      <c r="I187">
        <v>74</v>
      </c>
      <c r="J187">
        <v>78</v>
      </c>
      <c r="L187" t="s">
        <v>17</v>
      </c>
      <c r="M187" s="3">
        <f t="shared" si="29"/>
        <v>1.4439999125897884</v>
      </c>
    </row>
    <row r="188" spans="1:13" x14ac:dyDescent="0.25">
      <c r="A188" t="s">
        <v>78</v>
      </c>
      <c r="B188">
        <v>7</v>
      </c>
      <c r="C188" t="s">
        <v>13</v>
      </c>
      <c r="D188" t="s">
        <v>91</v>
      </c>
      <c r="E188" t="s">
        <v>92</v>
      </c>
      <c r="F188" s="1">
        <v>1.7361111111111111E-5</v>
      </c>
      <c r="G188" t="s">
        <v>16</v>
      </c>
      <c r="H188">
        <v>4</v>
      </c>
      <c r="I188">
        <v>74</v>
      </c>
      <c r="J188">
        <v>78</v>
      </c>
      <c r="L188" t="s">
        <v>17</v>
      </c>
      <c r="M188" s="3">
        <f t="shared" si="29"/>
        <v>1.5150000806897879</v>
      </c>
    </row>
    <row r="189" spans="1:13" x14ac:dyDescent="0.25">
      <c r="A189" t="s">
        <v>78</v>
      </c>
      <c r="B189">
        <v>8</v>
      </c>
      <c r="C189" t="s">
        <v>13</v>
      </c>
      <c r="D189" t="s">
        <v>93</v>
      </c>
      <c r="E189" t="s">
        <v>94</v>
      </c>
      <c r="F189" s="1">
        <v>1.3888888888888888E-5</v>
      </c>
      <c r="G189" t="s">
        <v>16</v>
      </c>
      <c r="H189">
        <v>4</v>
      </c>
      <c r="I189">
        <v>74</v>
      </c>
      <c r="J189">
        <v>78</v>
      </c>
      <c r="L189" t="s">
        <v>17</v>
      </c>
      <c r="M189" s="3">
        <f t="shared" si="29"/>
        <v>1.1960003525018692</v>
      </c>
    </row>
    <row r="190" spans="1:13" x14ac:dyDescent="0.25">
      <c r="A190" t="s">
        <v>78</v>
      </c>
      <c r="B190">
        <v>9</v>
      </c>
      <c r="C190" t="s">
        <v>13</v>
      </c>
      <c r="D190" t="s">
        <v>95</v>
      </c>
      <c r="E190" t="s">
        <v>96</v>
      </c>
      <c r="F190" s="1">
        <v>1.6203703703703704E-5</v>
      </c>
      <c r="G190" t="s">
        <v>16</v>
      </c>
      <c r="H190">
        <v>4</v>
      </c>
      <c r="I190">
        <v>74</v>
      </c>
      <c r="J190">
        <v>78</v>
      </c>
      <c r="L190" t="s">
        <v>17</v>
      </c>
      <c r="M190" s="3">
        <f t="shared" si="29"/>
        <v>1.4490001369267702</v>
      </c>
    </row>
    <row r="191" spans="1:13" x14ac:dyDescent="0.25">
      <c r="A191" t="s">
        <v>78</v>
      </c>
      <c r="B191">
        <v>10</v>
      </c>
      <c r="C191" t="s">
        <v>13</v>
      </c>
      <c r="D191" t="s">
        <v>97</v>
      </c>
      <c r="E191" t="s">
        <v>98</v>
      </c>
      <c r="F191" s="1">
        <v>1.2731481481481482E-5</v>
      </c>
      <c r="G191" t="s">
        <v>16</v>
      </c>
      <c r="H191">
        <v>4</v>
      </c>
      <c r="I191">
        <v>74</v>
      </c>
      <c r="J191">
        <v>78</v>
      </c>
      <c r="L191" t="s">
        <v>17</v>
      </c>
      <c r="M191" s="3">
        <f t="shared" si="29"/>
        <v>1.0999996913596988</v>
      </c>
    </row>
    <row r="192" spans="1:13" x14ac:dyDescent="0.25">
      <c r="A192" t="s">
        <v>78</v>
      </c>
      <c r="B192">
        <v>1</v>
      </c>
      <c r="C192" t="s">
        <v>36</v>
      </c>
      <c r="D192" t="s">
        <v>99</v>
      </c>
      <c r="E192" t="s">
        <v>100</v>
      </c>
      <c r="F192" s="1">
        <v>1.9675925925925925E-5</v>
      </c>
      <c r="G192" t="s">
        <v>16</v>
      </c>
      <c r="H192">
        <v>4</v>
      </c>
      <c r="I192">
        <v>150</v>
      </c>
      <c r="J192">
        <v>154</v>
      </c>
      <c r="L192" t="s">
        <v>17</v>
      </c>
      <c r="M192" s="3">
        <f t="shared" si="29"/>
        <v>1.6939998138695955</v>
      </c>
    </row>
    <row r="193" spans="1:13" x14ac:dyDescent="0.25">
      <c r="A193" t="s">
        <v>78</v>
      </c>
      <c r="B193">
        <v>2</v>
      </c>
      <c r="C193" t="s">
        <v>36</v>
      </c>
      <c r="D193" t="s">
        <v>101</v>
      </c>
      <c r="E193" t="s">
        <v>102</v>
      </c>
      <c r="F193" s="1">
        <v>1.6203703703703704E-5</v>
      </c>
      <c r="G193" t="s">
        <v>16</v>
      </c>
      <c r="H193">
        <v>4</v>
      </c>
      <c r="I193">
        <v>150</v>
      </c>
      <c r="J193">
        <v>154</v>
      </c>
      <c r="L193" t="s">
        <v>17</v>
      </c>
      <c r="M193" s="3">
        <f t="shared" si="29"/>
        <v>1.4329999219626188</v>
      </c>
    </row>
    <row r="194" spans="1:13" x14ac:dyDescent="0.25">
      <c r="A194" t="s">
        <v>78</v>
      </c>
      <c r="B194">
        <v>3</v>
      </c>
      <c r="C194" t="s">
        <v>36</v>
      </c>
      <c r="D194" t="s">
        <v>103</v>
      </c>
      <c r="E194" t="s">
        <v>104</v>
      </c>
      <c r="F194" s="1">
        <v>1.6203703703703704E-5</v>
      </c>
      <c r="G194" t="s">
        <v>16</v>
      </c>
      <c r="H194">
        <v>4</v>
      </c>
      <c r="I194">
        <v>150</v>
      </c>
      <c r="J194">
        <v>154</v>
      </c>
      <c r="L194" t="s">
        <v>17</v>
      </c>
      <c r="M194" s="3">
        <f t="shared" si="29"/>
        <v>1.3549998169764876</v>
      </c>
    </row>
    <row r="195" spans="1:13" x14ac:dyDescent="0.25">
      <c r="A195" t="s">
        <v>78</v>
      </c>
      <c r="B195">
        <v>4</v>
      </c>
      <c r="C195" t="s">
        <v>36</v>
      </c>
      <c r="D195" t="s">
        <v>105</v>
      </c>
      <c r="E195" t="s">
        <v>106</v>
      </c>
      <c r="F195" s="1">
        <v>1.3888888888888888E-5</v>
      </c>
      <c r="G195" t="s">
        <v>16</v>
      </c>
      <c r="H195">
        <v>4</v>
      </c>
      <c r="I195">
        <v>150</v>
      </c>
      <c r="J195">
        <v>154</v>
      </c>
      <c r="L195" t="s">
        <v>17</v>
      </c>
      <c r="M195" s="3">
        <f t="shared" ref="M195:M258" si="30">(SUBSTITUTE(LEFT(E195,23),"T"," ")-SUBSTITUTE(LEFT(D195,23),"T"," "))*86400</f>
        <v>1.2060001725330949</v>
      </c>
    </row>
    <row r="196" spans="1:13" x14ac:dyDescent="0.25">
      <c r="A196" t="s">
        <v>78</v>
      </c>
      <c r="B196">
        <v>5</v>
      </c>
      <c r="C196" t="s">
        <v>36</v>
      </c>
      <c r="D196" t="s">
        <v>107</v>
      </c>
      <c r="E196" t="s">
        <v>108</v>
      </c>
      <c r="F196" s="1">
        <v>1.7361111111111111E-5</v>
      </c>
      <c r="G196" t="s">
        <v>16</v>
      </c>
      <c r="H196">
        <v>4</v>
      </c>
      <c r="I196">
        <v>150</v>
      </c>
      <c r="J196">
        <v>154</v>
      </c>
      <c r="L196" t="s">
        <v>17</v>
      </c>
      <c r="M196" s="3">
        <f t="shared" si="30"/>
        <v>1.4710001181811094</v>
      </c>
    </row>
    <row r="197" spans="1:13" x14ac:dyDescent="0.25">
      <c r="A197" t="s">
        <v>78</v>
      </c>
      <c r="B197">
        <v>6</v>
      </c>
      <c r="C197" t="s">
        <v>36</v>
      </c>
      <c r="D197" t="s">
        <v>109</v>
      </c>
      <c r="E197" t="s">
        <v>110</v>
      </c>
      <c r="F197" s="1">
        <v>1.2731481481481482E-5</v>
      </c>
      <c r="G197" t="s">
        <v>16</v>
      </c>
      <c r="H197">
        <v>4</v>
      </c>
      <c r="I197">
        <v>150</v>
      </c>
      <c r="J197">
        <v>154</v>
      </c>
      <c r="L197" t="s">
        <v>17</v>
      </c>
      <c r="M197" s="3">
        <f t="shared" si="30"/>
        <v>1.1100001400336623</v>
      </c>
    </row>
    <row r="198" spans="1:13" x14ac:dyDescent="0.25">
      <c r="A198" t="s">
        <v>78</v>
      </c>
      <c r="B198">
        <v>7</v>
      </c>
      <c r="C198" t="s">
        <v>36</v>
      </c>
      <c r="D198" t="s">
        <v>111</v>
      </c>
      <c r="E198" t="s">
        <v>112</v>
      </c>
      <c r="F198" s="1">
        <v>2.199074074074074E-5</v>
      </c>
      <c r="G198" t="s">
        <v>16</v>
      </c>
      <c r="H198">
        <v>4</v>
      </c>
      <c r="I198">
        <v>150</v>
      </c>
      <c r="J198">
        <v>154</v>
      </c>
      <c r="L198" t="s">
        <v>17</v>
      </c>
      <c r="M198" s="3">
        <f t="shared" si="30"/>
        <v>1.0919995838776231</v>
      </c>
    </row>
    <row r="199" spans="1:13" x14ac:dyDescent="0.25">
      <c r="A199" t="s">
        <v>78</v>
      </c>
      <c r="B199">
        <v>8</v>
      </c>
      <c r="C199" t="s">
        <v>36</v>
      </c>
      <c r="D199" t="s">
        <v>113</v>
      </c>
      <c r="E199" t="s">
        <v>114</v>
      </c>
      <c r="F199" s="1">
        <v>1.2731481481481482E-5</v>
      </c>
      <c r="G199" t="s">
        <v>16</v>
      </c>
      <c r="H199">
        <v>4</v>
      </c>
      <c r="I199">
        <v>150</v>
      </c>
      <c r="J199">
        <v>154</v>
      </c>
      <c r="L199" t="s">
        <v>17</v>
      </c>
      <c r="M199" s="3">
        <f t="shared" si="30"/>
        <v>1.1449998244643211</v>
      </c>
    </row>
    <row r="200" spans="1:13" x14ac:dyDescent="0.25">
      <c r="A200" t="s">
        <v>78</v>
      </c>
      <c r="B200">
        <v>9</v>
      </c>
      <c r="C200" t="s">
        <v>36</v>
      </c>
      <c r="D200" t="s">
        <v>115</v>
      </c>
      <c r="E200" t="s">
        <v>116</v>
      </c>
      <c r="F200" s="1">
        <v>1.7361111111111111E-5</v>
      </c>
      <c r="G200" t="s">
        <v>16</v>
      </c>
      <c r="H200">
        <v>4</v>
      </c>
      <c r="I200">
        <v>150</v>
      </c>
      <c r="J200">
        <v>154</v>
      </c>
      <c r="L200" t="s">
        <v>17</v>
      </c>
      <c r="M200" s="3">
        <f t="shared" si="30"/>
        <v>1.483000279404223</v>
      </c>
    </row>
    <row r="201" spans="1:13" x14ac:dyDescent="0.25">
      <c r="A201" t="s">
        <v>78</v>
      </c>
      <c r="B201">
        <v>10</v>
      </c>
      <c r="C201" t="s">
        <v>36</v>
      </c>
      <c r="D201" t="s">
        <v>117</v>
      </c>
      <c r="E201" t="s">
        <v>118</v>
      </c>
      <c r="F201" s="1">
        <v>1.7361111111111111E-5</v>
      </c>
      <c r="G201" t="s">
        <v>16</v>
      </c>
      <c r="H201">
        <v>4</v>
      </c>
      <c r="I201">
        <v>150</v>
      </c>
      <c r="J201">
        <v>154</v>
      </c>
      <c r="L201" t="s">
        <v>17</v>
      </c>
      <c r="M201" s="3">
        <f t="shared" si="30"/>
        <v>1.483999821357429</v>
      </c>
    </row>
    <row r="202" spans="1:13" x14ac:dyDescent="0.25">
      <c r="A202" t="s">
        <v>78</v>
      </c>
      <c r="B202">
        <v>1</v>
      </c>
      <c r="C202" t="s">
        <v>57</v>
      </c>
      <c r="D202" t="s">
        <v>119</v>
      </c>
      <c r="E202" t="s">
        <v>120</v>
      </c>
      <c r="F202" s="1">
        <v>1.7361111111111111E-5</v>
      </c>
      <c r="G202" t="s">
        <v>16</v>
      </c>
      <c r="H202">
        <v>4</v>
      </c>
      <c r="I202">
        <v>104</v>
      </c>
      <c r="J202">
        <v>108</v>
      </c>
      <c r="L202" t="s">
        <v>17</v>
      </c>
      <c r="M202" s="3">
        <f t="shared" si="30"/>
        <v>1.5069999732077122</v>
      </c>
    </row>
    <row r="203" spans="1:13" x14ac:dyDescent="0.25">
      <c r="A203" t="s">
        <v>78</v>
      </c>
      <c r="B203">
        <v>2</v>
      </c>
      <c r="C203" t="s">
        <v>57</v>
      </c>
      <c r="D203" t="s">
        <v>121</v>
      </c>
      <c r="E203" t="s">
        <v>122</v>
      </c>
      <c r="F203" s="1">
        <v>1.7361111111111111E-5</v>
      </c>
      <c r="G203" t="s">
        <v>16</v>
      </c>
      <c r="H203">
        <v>4</v>
      </c>
      <c r="I203">
        <v>104</v>
      </c>
      <c r="J203">
        <v>108</v>
      </c>
      <c r="L203" t="s">
        <v>17</v>
      </c>
      <c r="M203" s="3">
        <f t="shared" si="30"/>
        <v>1.5019997488707304</v>
      </c>
    </row>
    <row r="204" spans="1:13" x14ac:dyDescent="0.25">
      <c r="A204" t="s">
        <v>78</v>
      </c>
      <c r="B204">
        <v>3</v>
      </c>
      <c r="C204" t="s">
        <v>57</v>
      </c>
      <c r="D204" t="s">
        <v>123</v>
      </c>
      <c r="E204" t="s">
        <v>124</v>
      </c>
      <c r="F204" s="1">
        <v>1.6203703703703704E-5</v>
      </c>
      <c r="G204" t="s">
        <v>16</v>
      </c>
      <c r="H204">
        <v>4</v>
      </c>
      <c r="I204">
        <v>104</v>
      </c>
      <c r="J204">
        <v>108</v>
      </c>
      <c r="L204" t="s">
        <v>17</v>
      </c>
      <c r="M204" s="3">
        <f t="shared" si="30"/>
        <v>1.3840003637596965</v>
      </c>
    </row>
    <row r="205" spans="1:13" x14ac:dyDescent="0.25">
      <c r="A205" t="s">
        <v>78</v>
      </c>
      <c r="B205">
        <v>4</v>
      </c>
      <c r="C205" t="s">
        <v>57</v>
      </c>
      <c r="D205" t="s">
        <v>125</v>
      </c>
      <c r="E205" t="s">
        <v>126</v>
      </c>
      <c r="F205" s="1">
        <v>1.7361111111111111E-5</v>
      </c>
      <c r="G205" t="s">
        <v>16</v>
      </c>
      <c r="H205">
        <v>4</v>
      </c>
      <c r="I205">
        <v>104</v>
      </c>
      <c r="J205">
        <v>108</v>
      </c>
      <c r="L205" t="s">
        <v>17</v>
      </c>
      <c r="M205" s="3">
        <f t="shared" si="30"/>
        <v>1.4769998844712973</v>
      </c>
    </row>
    <row r="206" spans="1:13" x14ac:dyDescent="0.25">
      <c r="A206" t="s">
        <v>78</v>
      </c>
      <c r="B206">
        <v>5</v>
      </c>
      <c r="C206" t="s">
        <v>57</v>
      </c>
      <c r="D206" t="s">
        <v>127</v>
      </c>
      <c r="E206" t="s">
        <v>128</v>
      </c>
      <c r="F206" s="1">
        <v>1.7361111111111111E-5</v>
      </c>
      <c r="G206" t="s">
        <v>16</v>
      </c>
      <c r="H206">
        <v>4</v>
      </c>
      <c r="I206">
        <v>104</v>
      </c>
      <c r="J206">
        <v>108</v>
      </c>
      <c r="L206" t="s">
        <v>17</v>
      </c>
      <c r="M206" s="3">
        <f t="shared" si="30"/>
        <v>1.5099998563528061</v>
      </c>
    </row>
    <row r="207" spans="1:13" x14ac:dyDescent="0.25">
      <c r="A207" t="s">
        <v>78</v>
      </c>
      <c r="B207">
        <v>6</v>
      </c>
      <c r="C207" t="s">
        <v>57</v>
      </c>
      <c r="D207" t="s">
        <v>129</v>
      </c>
      <c r="E207" t="s">
        <v>130</v>
      </c>
      <c r="F207" s="1">
        <v>1.3888888888888888E-5</v>
      </c>
      <c r="G207" t="s">
        <v>16</v>
      </c>
      <c r="H207">
        <v>4</v>
      </c>
      <c r="I207">
        <v>104</v>
      </c>
      <c r="J207">
        <v>108</v>
      </c>
      <c r="L207" t="s">
        <v>17</v>
      </c>
      <c r="M207" s="3">
        <f t="shared" si="30"/>
        <v>1.203999831341207</v>
      </c>
    </row>
    <row r="208" spans="1:13" x14ac:dyDescent="0.25">
      <c r="A208" t="s">
        <v>78</v>
      </c>
      <c r="B208">
        <v>7</v>
      </c>
      <c r="C208" t="s">
        <v>57</v>
      </c>
      <c r="D208" t="s">
        <v>131</v>
      </c>
      <c r="E208" t="s">
        <v>132</v>
      </c>
      <c r="F208" s="1">
        <v>1.8518518518518518E-5</v>
      </c>
      <c r="G208" t="s">
        <v>16</v>
      </c>
      <c r="H208">
        <v>4</v>
      </c>
      <c r="I208">
        <v>104</v>
      </c>
      <c r="J208">
        <v>108</v>
      </c>
      <c r="L208" t="s">
        <v>17</v>
      </c>
      <c r="M208" s="3">
        <f t="shared" si="30"/>
        <v>1.5509999357163906</v>
      </c>
    </row>
    <row r="209" spans="1:13" x14ac:dyDescent="0.25">
      <c r="A209" t="s">
        <v>78</v>
      </c>
      <c r="B209">
        <v>8</v>
      </c>
      <c r="C209" t="s">
        <v>57</v>
      </c>
      <c r="D209" t="s">
        <v>133</v>
      </c>
      <c r="E209" t="s">
        <v>134</v>
      </c>
      <c r="F209" s="1">
        <v>1.5046296296296297E-5</v>
      </c>
      <c r="G209" t="s">
        <v>16</v>
      </c>
      <c r="H209">
        <v>4</v>
      </c>
      <c r="I209">
        <v>104</v>
      </c>
      <c r="J209">
        <v>108</v>
      </c>
      <c r="L209" t="s">
        <v>17</v>
      </c>
      <c r="M209" s="3">
        <f t="shared" si="30"/>
        <v>1.345999538898468</v>
      </c>
    </row>
    <row r="210" spans="1:13" x14ac:dyDescent="0.25">
      <c r="A210" t="s">
        <v>78</v>
      </c>
      <c r="B210">
        <v>9</v>
      </c>
      <c r="C210" t="s">
        <v>57</v>
      </c>
      <c r="D210" t="s">
        <v>135</v>
      </c>
      <c r="E210" t="s">
        <v>136</v>
      </c>
      <c r="F210" s="1">
        <v>1.7361111111111111E-5</v>
      </c>
      <c r="G210" t="s">
        <v>16</v>
      </c>
      <c r="H210">
        <v>4</v>
      </c>
      <c r="I210">
        <v>104</v>
      </c>
      <c r="J210">
        <v>108</v>
      </c>
      <c r="L210" t="s">
        <v>17</v>
      </c>
      <c r="M210" s="3">
        <f t="shared" si="30"/>
        <v>1.5150000806897879</v>
      </c>
    </row>
    <row r="211" spans="1:13" x14ac:dyDescent="0.25">
      <c r="A211" t="s">
        <v>78</v>
      </c>
      <c r="B211">
        <v>10</v>
      </c>
      <c r="C211" t="s">
        <v>57</v>
      </c>
      <c r="D211" t="s">
        <v>137</v>
      </c>
      <c r="E211" t="s">
        <v>138</v>
      </c>
      <c r="F211" s="1">
        <v>1.3888888888888888E-5</v>
      </c>
      <c r="G211" t="s">
        <v>16</v>
      </c>
      <c r="H211">
        <v>4</v>
      </c>
      <c r="I211">
        <v>104</v>
      </c>
      <c r="J211">
        <v>108</v>
      </c>
      <c r="L211" t="s">
        <v>17</v>
      </c>
      <c r="M211" s="3">
        <f t="shared" si="30"/>
        <v>1.2390001444146037</v>
      </c>
    </row>
    <row r="212" spans="1:13" x14ac:dyDescent="0.25">
      <c r="A212" t="s">
        <v>139</v>
      </c>
      <c r="B212">
        <v>1</v>
      </c>
      <c r="C212" t="s">
        <v>13</v>
      </c>
      <c r="D212" t="s">
        <v>140</v>
      </c>
      <c r="E212" t="s">
        <v>141</v>
      </c>
      <c r="F212" s="1">
        <v>1.6203703703703704E-5</v>
      </c>
      <c r="G212" t="s">
        <v>16</v>
      </c>
      <c r="H212">
        <v>2</v>
      </c>
      <c r="I212">
        <v>67</v>
      </c>
      <c r="J212">
        <v>69</v>
      </c>
      <c r="L212" t="s">
        <v>17</v>
      </c>
      <c r="M212" s="3">
        <f t="shared" si="30"/>
        <v>1.3720002025365829</v>
      </c>
    </row>
    <row r="213" spans="1:13" x14ac:dyDescent="0.25">
      <c r="A213" t="s">
        <v>139</v>
      </c>
      <c r="B213">
        <v>2</v>
      </c>
      <c r="C213" t="s">
        <v>13</v>
      </c>
      <c r="D213" t="s">
        <v>142</v>
      </c>
      <c r="E213" t="s">
        <v>143</v>
      </c>
      <c r="F213" s="1">
        <v>1.5046296296296297E-5</v>
      </c>
      <c r="G213" t="s">
        <v>16</v>
      </c>
      <c r="H213">
        <v>2</v>
      </c>
      <c r="I213">
        <v>67</v>
      </c>
      <c r="J213">
        <v>69</v>
      </c>
      <c r="L213" t="s">
        <v>17</v>
      </c>
      <c r="M213" s="3">
        <f t="shared" si="30"/>
        <v>1.2759995413944125</v>
      </c>
    </row>
    <row r="214" spans="1:13" x14ac:dyDescent="0.25">
      <c r="A214" t="s">
        <v>139</v>
      </c>
      <c r="B214">
        <v>3</v>
      </c>
      <c r="C214" t="s">
        <v>13</v>
      </c>
      <c r="D214" t="s">
        <v>144</v>
      </c>
      <c r="E214" t="s">
        <v>145</v>
      </c>
      <c r="F214" s="1">
        <v>1.3888888888888888E-5</v>
      </c>
      <c r="G214" t="s">
        <v>16</v>
      </c>
      <c r="H214">
        <v>2</v>
      </c>
      <c r="I214">
        <v>67</v>
      </c>
      <c r="J214">
        <v>69</v>
      </c>
      <c r="L214" t="s">
        <v>17</v>
      </c>
      <c r="M214" s="3">
        <f t="shared" si="30"/>
        <v>1.2099995976313949</v>
      </c>
    </row>
    <row r="215" spans="1:13" x14ac:dyDescent="0.25">
      <c r="A215" t="s">
        <v>139</v>
      </c>
      <c r="B215">
        <v>4</v>
      </c>
      <c r="C215" t="s">
        <v>13</v>
      </c>
      <c r="D215" t="s">
        <v>146</v>
      </c>
      <c r="E215" t="s">
        <v>147</v>
      </c>
      <c r="F215" s="1">
        <v>1.2731481481481482E-5</v>
      </c>
      <c r="G215" t="s">
        <v>16</v>
      </c>
      <c r="H215">
        <v>2</v>
      </c>
      <c r="I215">
        <v>67</v>
      </c>
      <c r="J215">
        <v>69</v>
      </c>
      <c r="L215" t="s">
        <v>17</v>
      </c>
      <c r="M215" s="3">
        <f t="shared" si="30"/>
        <v>1.1369997169822454</v>
      </c>
    </row>
    <row r="216" spans="1:13" x14ac:dyDescent="0.25">
      <c r="A216" t="s">
        <v>139</v>
      </c>
      <c r="B216">
        <v>5</v>
      </c>
      <c r="C216" t="s">
        <v>13</v>
      </c>
      <c r="D216" t="s">
        <v>148</v>
      </c>
      <c r="E216" t="s">
        <v>149</v>
      </c>
      <c r="F216" s="1">
        <v>1.5046296296296297E-5</v>
      </c>
      <c r="G216" t="s">
        <v>16</v>
      </c>
      <c r="H216">
        <v>2</v>
      </c>
      <c r="I216">
        <v>67</v>
      </c>
      <c r="J216">
        <v>69</v>
      </c>
      <c r="L216" t="s">
        <v>17</v>
      </c>
      <c r="M216" s="3">
        <f t="shared" si="30"/>
        <v>1.2499995063990355</v>
      </c>
    </row>
    <row r="217" spans="1:13" x14ac:dyDescent="0.25">
      <c r="A217" t="s">
        <v>139</v>
      </c>
      <c r="B217">
        <v>6</v>
      </c>
      <c r="C217" t="s">
        <v>13</v>
      </c>
      <c r="D217" t="s">
        <v>150</v>
      </c>
      <c r="E217" t="s">
        <v>151</v>
      </c>
      <c r="F217" s="1">
        <v>1.2731481481481482E-5</v>
      </c>
      <c r="G217" t="s">
        <v>16</v>
      </c>
      <c r="H217">
        <v>2</v>
      </c>
      <c r="I217">
        <v>67</v>
      </c>
      <c r="J217">
        <v>69</v>
      </c>
      <c r="L217" t="s">
        <v>17</v>
      </c>
      <c r="M217" s="3">
        <f t="shared" si="30"/>
        <v>1.1320001212880015</v>
      </c>
    </row>
    <row r="218" spans="1:13" x14ac:dyDescent="0.25">
      <c r="A218" t="s">
        <v>139</v>
      </c>
      <c r="B218">
        <v>7</v>
      </c>
      <c r="C218" t="s">
        <v>13</v>
      </c>
      <c r="D218" t="s">
        <v>152</v>
      </c>
      <c r="E218" t="s">
        <v>153</v>
      </c>
      <c r="F218" s="1">
        <v>1.5046296296296297E-5</v>
      </c>
      <c r="G218" t="s">
        <v>16</v>
      </c>
      <c r="H218">
        <v>2</v>
      </c>
      <c r="I218">
        <v>67</v>
      </c>
      <c r="J218">
        <v>69</v>
      </c>
      <c r="L218" t="s">
        <v>17</v>
      </c>
      <c r="M218" s="3">
        <f t="shared" si="30"/>
        <v>1.2519998475909233</v>
      </c>
    </row>
    <row r="219" spans="1:13" x14ac:dyDescent="0.25">
      <c r="A219" t="s">
        <v>139</v>
      </c>
      <c r="B219">
        <v>8</v>
      </c>
      <c r="C219" t="s">
        <v>13</v>
      </c>
      <c r="D219" t="s">
        <v>154</v>
      </c>
      <c r="E219" t="s">
        <v>155</v>
      </c>
      <c r="F219" s="1">
        <v>1.3888888888888888E-5</v>
      </c>
      <c r="G219" t="s">
        <v>16</v>
      </c>
      <c r="H219">
        <v>2</v>
      </c>
      <c r="I219">
        <v>67</v>
      </c>
      <c r="J219">
        <v>69</v>
      </c>
      <c r="L219" t="s">
        <v>17</v>
      </c>
      <c r="M219" s="3">
        <f t="shared" si="30"/>
        <v>1.2250002706423402</v>
      </c>
    </row>
    <row r="220" spans="1:13" x14ac:dyDescent="0.25">
      <c r="A220" t="s">
        <v>139</v>
      </c>
      <c r="B220">
        <v>9</v>
      </c>
      <c r="C220" t="s">
        <v>13</v>
      </c>
      <c r="D220" t="s">
        <v>156</v>
      </c>
      <c r="E220" t="s">
        <v>157</v>
      </c>
      <c r="F220" s="1">
        <v>1.5046296296296297E-5</v>
      </c>
      <c r="G220" t="s">
        <v>16</v>
      </c>
      <c r="H220">
        <v>2</v>
      </c>
      <c r="I220">
        <v>67</v>
      </c>
      <c r="J220">
        <v>69</v>
      </c>
      <c r="L220" t="s">
        <v>17</v>
      </c>
      <c r="M220" s="3">
        <f t="shared" si="30"/>
        <v>1.343000284396112</v>
      </c>
    </row>
    <row r="221" spans="1:13" x14ac:dyDescent="0.25">
      <c r="A221" t="s">
        <v>139</v>
      </c>
      <c r="B221">
        <v>10</v>
      </c>
      <c r="C221" t="s">
        <v>13</v>
      </c>
      <c r="D221" t="s">
        <v>158</v>
      </c>
      <c r="E221" t="s">
        <v>159</v>
      </c>
      <c r="F221" s="1">
        <v>1.9675925925925925E-5</v>
      </c>
      <c r="G221" t="s">
        <v>16</v>
      </c>
      <c r="H221">
        <v>2</v>
      </c>
      <c r="I221">
        <v>67</v>
      </c>
      <c r="J221">
        <v>69</v>
      </c>
      <c r="L221" t="s">
        <v>17</v>
      </c>
      <c r="M221" s="3">
        <f t="shared" si="30"/>
        <v>1.0729994857683778</v>
      </c>
    </row>
    <row r="222" spans="1:13" x14ac:dyDescent="0.25">
      <c r="A222" t="s">
        <v>139</v>
      </c>
      <c r="B222">
        <v>1</v>
      </c>
      <c r="C222" t="s">
        <v>36</v>
      </c>
      <c r="D222" t="s">
        <v>160</v>
      </c>
      <c r="E222" t="s">
        <v>161</v>
      </c>
      <c r="F222" s="1">
        <v>1.5046296296296297E-5</v>
      </c>
      <c r="G222" t="s">
        <v>16</v>
      </c>
      <c r="H222">
        <v>2</v>
      </c>
      <c r="I222">
        <v>161</v>
      </c>
      <c r="J222">
        <v>163</v>
      </c>
      <c r="L222" t="s">
        <v>17</v>
      </c>
      <c r="M222" s="3">
        <f t="shared" si="30"/>
        <v>1.2519998475909233</v>
      </c>
    </row>
    <row r="223" spans="1:13" x14ac:dyDescent="0.25">
      <c r="A223" t="s">
        <v>139</v>
      </c>
      <c r="B223">
        <v>2</v>
      </c>
      <c r="C223" t="s">
        <v>36</v>
      </c>
      <c r="D223" t="s">
        <v>162</v>
      </c>
      <c r="E223" t="s">
        <v>163</v>
      </c>
      <c r="F223" s="1">
        <v>1.8518518518518518E-5</v>
      </c>
      <c r="G223" t="s">
        <v>16</v>
      </c>
      <c r="H223">
        <v>2</v>
      </c>
      <c r="I223">
        <v>161</v>
      </c>
      <c r="J223">
        <v>163</v>
      </c>
      <c r="L223" t="s">
        <v>17</v>
      </c>
      <c r="M223" s="3">
        <f t="shared" si="30"/>
        <v>1.5640002675354481</v>
      </c>
    </row>
    <row r="224" spans="1:13" x14ac:dyDescent="0.25">
      <c r="A224" t="s">
        <v>139</v>
      </c>
      <c r="B224">
        <v>3</v>
      </c>
      <c r="C224" t="s">
        <v>36</v>
      </c>
      <c r="D224" t="s">
        <v>164</v>
      </c>
      <c r="E224" t="s">
        <v>165</v>
      </c>
      <c r="F224" s="1">
        <v>1.5046296296296297E-5</v>
      </c>
      <c r="G224" t="s">
        <v>16</v>
      </c>
      <c r="H224">
        <v>2</v>
      </c>
      <c r="I224">
        <v>161</v>
      </c>
      <c r="J224">
        <v>163</v>
      </c>
      <c r="L224" t="s">
        <v>17</v>
      </c>
      <c r="M224" s="3">
        <f t="shared" si="30"/>
        <v>1.3109998544678092</v>
      </c>
    </row>
    <row r="225" spans="1:13" x14ac:dyDescent="0.25">
      <c r="A225" t="s">
        <v>139</v>
      </c>
      <c r="B225">
        <v>4</v>
      </c>
      <c r="C225" t="s">
        <v>36</v>
      </c>
      <c r="D225" t="s">
        <v>166</v>
      </c>
      <c r="E225" t="s">
        <v>167</v>
      </c>
      <c r="F225" s="1">
        <v>1.3888888888888888E-5</v>
      </c>
      <c r="G225" t="s">
        <v>16</v>
      </c>
      <c r="H225">
        <v>2</v>
      </c>
      <c r="I225">
        <v>161</v>
      </c>
      <c r="J225">
        <v>163</v>
      </c>
      <c r="L225" t="s">
        <v>17</v>
      </c>
      <c r="M225" s="3">
        <f t="shared" si="30"/>
        <v>1.1950001819059253</v>
      </c>
    </row>
    <row r="226" spans="1:13" x14ac:dyDescent="0.25">
      <c r="A226" t="s">
        <v>139</v>
      </c>
      <c r="B226">
        <v>5</v>
      </c>
      <c r="C226" t="s">
        <v>36</v>
      </c>
      <c r="D226" t="s">
        <v>168</v>
      </c>
      <c r="E226" t="s">
        <v>169</v>
      </c>
      <c r="F226" s="1">
        <v>1.3888888888888888E-5</v>
      </c>
      <c r="G226" t="s">
        <v>16</v>
      </c>
      <c r="H226">
        <v>2</v>
      </c>
      <c r="I226">
        <v>161</v>
      </c>
      <c r="J226">
        <v>163</v>
      </c>
      <c r="L226" t="s">
        <v>17</v>
      </c>
      <c r="M226" s="3">
        <f t="shared" si="30"/>
        <v>1.1789999669417739</v>
      </c>
    </row>
    <row r="227" spans="1:13" x14ac:dyDescent="0.25">
      <c r="A227" t="s">
        <v>139</v>
      </c>
      <c r="B227">
        <v>6</v>
      </c>
      <c r="C227" t="s">
        <v>36</v>
      </c>
      <c r="D227" t="s">
        <v>170</v>
      </c>
      <c r="E227" t="s">
        <v>171</v>
      </c>
      <c r="F227" s="1">
        <v>1.5046296296296297E-5</v>
      </c>
      <c r="G227" t="s">
        <v>16</v>
      </c>
      <c r="H227">
        <v>2</v>
      </c>
      <c r="I227">
        <v>161</v>
      </c>
      <c r="J227">
        <v>163</v>
      </c>
      <c r="L227" t="s">
        <v>17</v>
      </c>
      <c r="M227" s="3">
        <f t="shared" si="30"/>
        <v>1.2760001700371504</v>
      </c>
    </row>
    <row r="228" spans="1:13" x14ac:dyDescent="0.25">
      <c r="A228" t="s">
        <v>139</v>
      </c>
      <c r="B228">
        <v>7</v>
      </c>
      <c r="C228" t="s">
        <v>36</v>
      </c>
      <c r="D228" t="s">
        <v>172</v>
      </c>
      <c r="E228" t="s">
        <v>173</v>
      </c>
      <c r="F228" s="1">
        <v>1.6203703703703704E-5</v>
      </c>
      <c r="G228" t="s">
        <v>16</v>
      </c>
      <c r="H228">
        <v>2</v>
      </c>
      <c r="I228">
        <v>161</v>
      </c>
      <c r="J228">
        <v>163</v>
      </c>
      <c r="L228" t="s">
        <v>17</v>
      </c>
      <c r="M228" s="3">
        <f t="shared" si="30"/>
        <v>1.3979996088892221</v>
      </c>
    </row>
    <row r="229" spans="1:13" x14ac:dyDescent="0.25">
      <c r="A229" t="s">
        <v>139</v>
      </c>
      <c r="B229">
        <v>8</v>
      </c>
      <c r="C229" t="s">
        <v>36</v>
      </c>
      <c r="D229" t="s">
        <v>174</v>
      </c>
      <c r="E229" t="s">
        <v>175</v>
      </c>
      <c r="F229" s="1">
        <v>1.3888888888888888E-5</v>
      </c>
      <c r="G229" t="s">
        <v>16</v>
      </c>
      <c r="H229">
        <v>2</v>
      </c>
      <c r="I229">
        <v>161</v>
      </c>
      <c r="J229">
        <v>163</v>
      </c>
      <c r="L229" t="s">
        <v>17</v>
      </c>
      <c r="M229" s="3">
        <f t="shared" si="30"/>
        <v>1.1880002450197935</v>
      </c>
    </row>
    <row r="230" spans="1:13" x14ac:dyDescent="0.25">
      <c r="A230" t="s">
        <v>139</v>
      </c>
      <c r="B230">
        <v>9</v>
      </c>
      <c r="C230" t="s">
        <v>36</v>
      </c>
      <c r="D230" t="s">
        <v>176</v>
      </c>
      <c r="E230" t="s">
        <v>177</v>
      </c>
      <c r="F230" s="1">
        <v>2.199074074074074E-5</v>
      </c>
      <c r="G230" t="s">
        <v>16</v>
      </c>
      <c r="H230">
        <v>2</v>
      </c>
      <c r="I230">
        <v>161</v>
      </c>
      <c r="J230">
        <v>163</v>
      </c>
      <c r="L230" t="s">
        <v>17</v>
      </c>
      <c r="M230" s="3">
        <f t="shared" si="30"/>
        <v>1.0899998713284731</v>
      </c>
    </row>
    <row r="231" spans="1:13" x14ac:dyDescent="0.25">
      <c r="A231" t="s">
        <v>139</v>
      </c>
      <c r="B231">
        <v>10</v>
      </c>
      <c r="C231" t="s">
        <v>36</v>
      </c>
      <c r="D231" t="s">
        <v>178</v>
      </c>
      <c r="E231" t="s">
        <v>179</v>
      </c>
      <c r="F231" s="1">
        <v>1.5046296296296297E-5</v>
      </c>
      <c r="G231" t="s">
        <v>16</v>
      </c>
      <c r="H231">
        <v>2</v>
      </c>
      <c r="I231">
        <v>161</v>
      </c>
      <c r="J231">
        <v>163</v>
      </c>
      <c r="L231" t="s">
        <v>17</v>
      </c>
      <c r="M231" s="3">
        <f t="shared" si="30"/>
        <v>1.2880003312602639</v>
      </c>
    </row>
    <row r="232" spans="1:13" x14ac:dyDescent="0.25">
      <c r="A232" t="s">
        <v>139</v>
      </c>
      <c r="B232">
        <v>1</v>
      </c>
      <c r="C232" t="s">
        <v>57</v>
      </c>
      <c r="D232" t="s">
        <v>180</v>
      </c>
      <c r="E232" t="s">
        <v>181</v>
      </c>
      <c r="F232" s="1">
        <v>1.3888888888888888E-5</v>
      </c>
      <c r="G232" t="s">
        <v>16</v>
      </c>
      <c r="H232">
        <v>2</v>
      </c>
      <c r="I232">
        <v>94</v>
      </c>
      <c r="J232">
        <v>96</v>
      </c>
      <c r="L232" t="s">
        <v>17</v>
      </c>
      <c r="M232" s="3">
        <f t="shared" si="30"/>
        <v>1.1759994551539421</v>
      </c>
    </row>
    <row r="233" spans="1:13" x14ac:dyDescent="0.25">
      <c r="A233" t="s">
        <v>139</v>
      </c>
      <c r="B233">
        <v>2</v>
      </c>
      <c r="C233" t="s">
        <v>57</v>
      </c>
      <c r="D233" t="s">
        <v>182</v>
      </c>
      <c r="E233" t="s">
        <v>183</v>
      </c>
      <c r="F233" s="1">
        <v>1.3888888888888888E-5</v>
      </c>
      <c r="G233" t="s">
        <v>16</v>
      </c>
      <c r="H233">
        <v>2</v>
      </c>
      <c r="I233">
        <v>94</v>
      </c>
      <c r="J233">
        <v>96</v>
      </c>
      <c r="L233" t="s">
        <v>17</v>
      </c>
      <c r="M233" s="3">
        <f t="shared" si="30"/>
        <v>1.1669998057186604</v>
      </c>
    </row>
    <row r="234" spans="1:13" x14ac:dyDescent="0.25">
      <c r="A234" t="s">
        <v>139</v>
      </c>
      <c r="B234">
        <v>3</v>
      </c>
      <c r="C234" t="s">
        <v>57</v>
      </c>
      <c r="D234" t="s">
        <v>184</v>
      </c>
      <c r="E234" t="s">
        <v>185</v>
      </c>
      <c r="F234" s="1">
        <v>1.3888888888888888E-5</v>
      </c>
      <c r="G234" t="s">
        <v>16</v>
      </c>
      <c r="H234">
        <v>2</v>
      </c>
      <c r="I234">
        <v>94</v>
      </c>
      <c r="J234">
        <v>96</v>
      </c>
      <c r="L234" t="s">
        <v>17</v>
      </c>
      <c r="M234" s="3">
        <f t="shared" si="30"/>
        <v>1.2080005137249827</v>
      </c>
    </row>
    <row r="235" spans="1:13" x14ac:dyDescent="0.25">
      <c r="A235" t="s">
        <v>139</v>
      </c>
      <c r="B235">
        <v>4</v>
      </c>
      <c r="C235" t="s">
        <v>57</v>
      </c>
      <c r="D235" t="s">
        <v>186</v>
      </c>
      <c r="E235" t="s">
        <v>187</v>
      </c>
      <c r="F235" s="1">
        <v>1.2731481481481482E-5</v>
      </c>
      <c r="G235" t="s">
        <v>16</v>
      </c>
      <c r="H235">
        <v>2</v>
      </c>
      <c r="I235">
        <v>94</v>
      </c>
      <c r="J235">
        <v>96</v>
      </c>
      <c r="L235" t="s">
        <v>17</v>
      </c>
      <c r="M235" s="3">
        <f t="shared" si="30"/>
        <v>1.1149997357279062</v>
      </c>
    </row>
    <row r="236" spans="1:13" x14ac:dyDescent="0.25">
      <c r="A236" t="s">
        <v>139</v>
      </c>
      <c r="B236">
        <v>5</v>
      </c>
      <c r="C236" t="s">
        <v>57</v>
      </c>
      <c r="D236" t="s">
        <v>188</v>
      </c>
      <c r="E236" t="s">
        <v>189</v>
      </c>
      <c r="F236" s="1">
        <v>1.3888888888888888E-5</v>
      </c>
      <c r="G236" t="s">
        <v>16</v>
      </c>
      <c r="H236">
        <v>2</v>
      </c>
      <c r="I236">
        <v>94</v>
      </c>
      <c r="J236">
        <v>96</v>
      </c>
      <c r="L236" t="s">
        <v>17</v>
      </c>
      <c r="M236" s="3">
        <f t="shared" si="30"/>
        <v>1.1510002193972468</v>
      </c>
    </row>
    <row r="237" spans="1:13" x14ac:dyDescent="0.25">
      <c r="A237" t="s">
        <v>139</v>
      </c>
      <c r="B237">
        <v>6</v>
      </c>
      <c r="C237" t="s">
        <v>57</v>
      </c>
      <c r="D237" t="s">
        <v>190</v>
      </c>
      <c r="E237" t="s">
        <v>191</v>
      </c>
      <c r="F237" s="1">
        <v>1.9675925925925925E-5</v>
      </c>
      <c r="G237" t="s">
        <v>16</v>
      </c>
      <c r="H237">
        <v>2</v>
      </c>
      <c r="I237">
        <v>94</v>
      </c>
      <c r="J237">
        <v>96</v>
      </c>
      <c r="L237" t="s">
        <v>17</v>
      </c>
      <c r="M237" s="3">
        <f t="shared" si="30"/>
        <v>1.0740002850070596</v>
      </c>
    </row>
    <row r="238" spans="1:13" x14ac:dyDescent="0.25">
      <c r="A238" t="s">
        <v>139</v>
      </c>
      <c r="B238">
        <v>7</v>
      </c>
      <c r="C238" t="s">
        <v>57</v>
      </c>
      <c r="D238" t="s">
        <v>192</v>
      </c>
      <c r="E238" t="s">
        <v>193</v>
      </c>
      <c r="F238" s="1">
        <v>1.2731481481481482E-5</v>
      </c>
      <c r="G238" t="s">
        <v>16</v>
      </c>
      <c r="H238">
        <v>2</v>
      </c>
      <c r="I238">
        <v>94</v>
      </c>
      <c r="J238">
        <v>96</v>
      </c>
      <c r="L238" t="s">
        <v>17</v>
      </c>
      <c r="M238" s="3">
        <f t="shared" si="30"/>
        <v>1.0009997757151723</v>
      </c>
    </row>
    <row r="239" spans="1:13" x14ac:dyDescent="0.25">
      <c r="A239" t="s">
        <v>139</v>
      </c>
      <c r="B239">
        <v>8</v>
      </c>
      <c r="C239" t="s">
        <v>57</v>
      </c>
      <c r="D239" t="s">
        <v>194</v>
      </c>
      <c r="E239" t="s">
        <v>195</v>
      </c>
      <c r="F239" s="1">
        <v>1.2731481481481482E-5</v>
      </c>
      <c r="G239" t="s">
        <v>16</v>
      </c>
      <c r="H239">
        <v>2</v>
      </c>
      <c r="I239">
        <v>94</v>
      </c>
      <c r="J239">
        <v>96</v>
      </c>
      <c r="L239" t="s">
        <v>17</v>
      </c>
      <c r="M239" s="3">
        <f t="shared" si="30"/>
        <v>1.1390000581741333</v>
      </c>
    </row>
    <row r="240" spans="1:13" x14ac:dyDescent="0.25">
      <c r="A240" t="s">
        <v>139</v>
      </c>
      <c r="B240">
        <v>9</v>
      </c>
      <c r="C240" t="s">
        <v>57</v>
      </c>
      <c r="D240" t="s">
        <v>196</v>
      </c>
      <c r="E240" t="s">
        <v>197</v>
      </c>
      <c r="F240" s="1">
        <v>1.3888888888888888E-5</v>
      </c>
      <c r="G240" t="s">
        <v>16</v>
      </c>
      <c r="H240">
        <v>2</v>
      </c>
      <c r="I240">
        <v>94</v>
      </c>
      <c r="J240">
        <v>96</v>
      </c>
      <c r="L240" t="s">
        <v>17</v>
      </c>
      <c r="M240" s="3">
        <f t="shared" si="30"/>
        <v>1.1999997776001692</v>
      </c>
    </row>
    <row r="241" spans="1:13" x14ac:dyDescent="0.25">
      <c r="A241" t="s">
        <v>139</v>
      </c>
      <c r="B241">
        <v>10</v>
      </c>
      <c r="C241" t="s">
        <v>57</v>
      </c>
      <c r="D241" t="s">
        <v>198</v>
      </c>
      <c r="E241" t="s">
        <v>199</v>
      </c>
      <c r="F241" s="1">
        <v>1.3888888888888888E-5</v>
      </c>
      <c r="G241" t="s">
        <v>16</v>
      </c>
      <c r="H241">
        <v>2</v>
      </c>
      <c r="I241">
        <v>94</v>
      </c>
      <c r="J241">
        <v>96</v>
      </c>
      <c r="L241" t="s">
        <v>17</v>
      </c>
      <c r="M241" s="3">
        <f t="shared" si="30"/>
        <v>1.2439997401088476</v>
      </c>
    </row>
    <row r="242" spans="1:13" x14ac:dyDescent="0.25">
      <c r="A242" t="s">
        <v>200</v>
      </c>
      <c r="B242">
        <v>1</v>
      </c>
      <c r="C242" t="s">
        <v>13</v>
      </c>
      <c r="D242" t="s">
        <v>201</v>
      </c>
      <c r="E242" t="s">
        <v>202</v>
      </c>
      <c r="F242" s="1">
        <v>1.5046296296296297E-5</v>
      </c>
      <c r="G242" t="s">
        <v>16</v>
      </c>
      <c r="H242">
        <v>3</v>
      </c>
      <c r="I242">
        <v>67</v>
      </c>
      <c r="J242">
        <v>70</v>
      </c>
      <c r="L242" t="s">
        <v>17</v>
      </c>
      <c r="M242" s="3">
        <f t="shared" si="30"/>
        <v>1.3090001419186592</v>
      </c>
    </row>
    <row r="243" spans="1:13" x14ac:dyDescent="0.25">
      <c r="A243" t="s">
        <v>200</v>
      </c>
      <c r="B243">
        <v>2</v>
      </c>
      <c r="C243" t="s">
        <v>13</v>
      </c>
      <c r="D243" t="s">
        <v>203</v>
      </c>
      <c r="E243" t="s">
        <v>204</v>
      </c>
      <c r="F243" s="1">
        <v>1.9675925925925925E-5</v>
      </c>
      <c r="G243" t="s">
        <v>16</v>
      </c>
      <c r="H243">
        <v>3</v>
      </c>
      <c r="I243">
        <v>67</v>
      </c>
      <c r="J243">
        <v>70</v>
      </c>
      <c r="L243" t="s">
        <v>17</v>
      </c>
      <c r="M243" s="3">
        <f t="shared" si="30"/>
        <v>1.6829998232424259</v>
      </c>
    </row>
    <row r="244" spans="1:13" x14ac:dyDescent="0.25">
      <c r="A244" t="s">
        <v>200</v>
      </c>
      <c r="B244">
        <v>3</v>
      </c>
      <c r="C244" t="s">
        <v>13</v>
      </c>
      <c r="D244" t="s">
        <v>205</v>
      </c>
      <c r="E244" t="s">
        <v>206</v>
      </c>
      <c r="F244" s="1">
        <v>1.5046296296296297E-5</v>
      </c>
      <c r="G244" t="s">
        <v>16</v>
      </c>
      <c r="H244">
        <v>3</v>
      </c>
      <c r="I244">
        <v>67</v>
      </c>
      <c r="J244">
        <v>70</v>
      </c>
      <c r="L244" t="s">
        <v>17</v>
      </c>
      <c r="M244" s="3">
        <f t="shared" si="30"/>
        <v>1.28500044811517</v>
      </c>
    </row>
    <row r="245" spans="1:13" x14ac:dyDescent="0.25">
      <c r="A245" t="s">
        <v>200</v>
      </c>
      <c r="B245">
        <v>4</v>
      </c>
      <c r="C245" t="s">
        <v>13</v>
      </c>
      <c r="D245" t="s">
        <v>207</v>
      </c>
      <c r="E245" t="s">
        <v>208</v>
      </c>
      <c r="F245" s="1">
        <v>2.0833333333333333E-5</v>
      </c>
      <c r="G245" t="s">
        <v>16</v>
      </c>
      <c r="H245">
        <v>3</v>
      </c>
      <c r="I245">
        <v>67</v>
      </c>
      <c r="J245">
        <v>70</v>
      </c>
      <c r="L245" t="s">
        <v>17</v>
      </c>
      <c r="M245" s="3">
        <f t="shared" si="30"/>
        <v>1.763999811373651</v>
      </c>
    </row>
    <row r="246" spans="1:13" x14ac:dyDescent="0.25">
      <c r="A246" t="s">
        <v>200</v>
      </c>
      <c r="B246">
        <v>5</v>
      </c>
      <c r="C246" t="s">
        <v>13</v>
      </c>
      <c r="D246" t="s">
        <v>209</v>
      </c>
      <c r="E246" t="s">
        <v>210</v>
      </c>
      <c r="F246" s="1">
        <v>1.8518518518518518E-5</v>
      </c>
      <c r="G246" t="s">
        <v>16</v>
      </c>
      <c r="H246">
        <v>3</v>
      </c>
      <c r="I246">
        <v>67</v>
      </c>
      <c r="J246">
        <v>70</v>
      </c>
      <c r="L246" t="s">
        <v>17</v>
      </c>
      <c r="M246" s="3">
        <f t="shared" si="30"/>
        <v>1.5850000781938434</v>
      </c>
    </row>
    <row r="247" spans="1:13" x14ac:dyDescent="0.25">
      <c r="A247" t="s">
        <v>200</v>
      </c>
      <c r="B247">
        <v>6</v>
      </c>
      <c r="C247" t="s">
        <v>13</v>
      </c>
      <c r="D247" t="s">
        <v>211</v>
      </c>
      <c r="E247" t="s">
        <v>212</v>
      </c>
      <c r="F247" s="1">
        <v>1.5046296296296297E-5</v>
      </c>
      <c r="G247" t="s">
        <v>16</v>
      </c>
      <c r="H247">
        <v>3</v>
      </c>
      <c r="I247">
        <v>67</v>
      </c>
      <c r="J247">
        <v>70</v>
      </c>
      <c r="L247" t="s">
        <v>17</v>
      </c>
      <c r="M247" s="3">
        <f t="shared" si="30"/>
        <v>1.28700016066432</v>
      </c>
    </row>
    <row r="248" spans="1:13" x14ac:dyDescent="0.25">
      <c r="A248" t="s">
        <v>200</v>
      </c>
      <c r="B248">
        <v>7</v>
      </c>
      <c r="C248" t="s">
        <v>13</v>
      </c>
      <c r="D248" t="s">
        <v>213</v>
      </c>
      <c r="E248" t="s">
        <v>214</v>
      </c>
      <c r="F248" s="1">
        <v>1.9675925925925925E-5</v>
      </c>
      <c r="G248" t="s">
        <v>16</v>
      </c>
      <c r="H248">
        <v>3</v>
      </c>
      <c r="I248">
        <v>67</v>
      </c>
      <c r="J248">
        <v>70</v>
      </c>
      <c r="L248" t="s">
        <v>17</v>
      </c>
      <c r="M248" s="3">
        <f t="shared" si="30"/>
        <v>1.6700001200661063</v>
      </c>
    </row>
    <row r="249" spans="1:13" x14ac:dyDescent="0.25">
      <c r="A249" t="s">
        <v>200</v>
      </c>
      <c r="B249">
        <v>8</v>
      </c>
      <c r="C249" t="s">
        <v>13</v>
      </c>
      <c r="D249" t="s">
        <v>215</v>
      </c>
      <c r="E249" t="s">
        <v>216</v>
      </c>
      <c r="F249" s="1">
        <v>1.5046296296296297E-5</v>
      </c>
      <c r="G249" t="s">
        <v>16</v>
      </c>
      <c r="H249">
        <v>3</v>
      </c>
      <c r="I249">
        <v>67</v>
      </c>
      <c r="J249">
        <v>70</v>
      </c>
      <c r="L249" t="s">
        <v>17</v>
      </c>
      <c r="M249" s="3">
        <f t="shared" si="30"/>
        <v>1.3020002050325274</v>
      </c>
    </row>
    <row r="250" spans="1:13" x14ac:dyDescent="0.25">
      <c r="A250" t="s">
        <v>200</v>
      </c>
      <c r="B250">
        <v>9</v>
      </c>
      <c r="C250" t="s">
        <v>13</v>
      </c>
      <c r="D250" t="s">
        <v>217</v>
      </c>
      <c r="E250" t="s">
        <v>218</v>
      </c>
      <c r="F250" s="1">
        <v>1.3888888888888888E-5</v>
      </c>
      <c r="G250" t="s">
        <v>16</v>
      </c>
      <c r="H250">
        <v>3</v>
      </c>
      <c r="I250">
        <v>67</v>
      </c>
      <c r="J250">
        <v>70</v>
      </c>
      <c r="L250" t="s">
        <v>17</v>
      </c>
      <c r="M250" s="3">
        <f t="shared" si="30"/>
        <v>1.2460000813007355</v>
      </c>
    </row>
    <row r="251" spans="1:13" x14ac:dyDescent="0.25">
      <c r="A251" t="s">
        <v>200</v>
      </c>
      <c r="B251">
        <v>10</v>
      </c>
      <c r="C251" t="s">
        <v>13</v>
      </c>
      <c r="D251" t="s">
        <v>219</v>
      </c>
      <c r="E251" t="s">
        <v>220</v>
      </c>
      <c r="F251" s="1">
        <v>1.6203703703703704E-5</v>
      </c>
      <c r="G251" t="s">
        <v>16</v>
      </c>
      <c r="H251">
        <v>3</v>
      </c>
      <c r="I251">
        <v>67</v>
      </c>
      <c r="J251">
        <v>70</v>
      </c>
      <c r="L251" t="s">
        <v>17</v>
      </c>
      <c r="M251" s="3">
        <f t="shared" si="30"/>
        <v>1.3589998707175255</v>
      </c>
    </row>
    <row r="252" spans="1:13" x14ac:dyDescent="0.25">
      <c r="A252" t="s">
        <v>200</v>
      </c>
      <c r="B252">
        <v>1</v>
      </c>
      <c r="C252" t="s">
        <v>36</v>
      </c>
      <c r="D252" t="s">
        <v>221</v>
      </c>
      <c r="E252" t="s">
        <v>222</v>
      </c>
      <c r="F252" s="1">
        <v>1.6203703703703704E-5</v>
      </c>
      <c r="G252" t="s">
        <v>16</v>
      </c>
      <c r="H252">
        <v>3</v>
      </c>
      <c r="I252">
        <v>139</v>
      </c>
      <c r="J252">
        <v>142</v>
      </c>
      <c r="L252" t="s">
        <v>17</v>
      </c>
      <c r="M252" s="3">
        <f t="shared" si="30"/>
        <v>1.4169997069984674</v>
      </c>
    </row>
    <row r="253" spans="1:13" x14ac:dyDescent="0.25">
      <c r="A253" t="s">
        <v>200</v>
      </c>
      <c r="B253">
        <v>2</v>
      </c>
      <c r="C253" t="s">
        <v>36</v>
      </c>
      <c r="D253" t="s">
        <v>223</v>
      </c>
      <c r="E253" t="s">
        <v>224</v>
      </c>
      <c r="F253" s="1">
        <v>1.5046296296296297E-5</v>
      </c>
      <c r="G253" t="s">
        <v>16</v>
      </c>
      <c r="H253">
        <v>3</v>
      </c>
      <c r="I253">
        <v>139</v>
      </c>
      <c r="J253">
        <v>142</v>
      </c>
      <c r="L253" t="s">
        <v>17</v>
      </c>
      <c r="M253" s="3">
        <f t="shared" si="30"/>
        <v>1.3440004549920559</v>
      </c>
    </row>
    <row r="254" spans="1:13" x14ac:dyDescent="0.25">
      <c r="A254" t="s">
        <v>200</v>
      </c>
      <c r="B254">
        <v>3</v>
      </c>
      <c r="C254" t="s">
        <v>36</v>
      </c>
      <c r="D254" t="s">
        <v>225</v>
      </c>
      <c r="E254" t="s">
        <v>226</v>
      </c>
      <c r="F254" s="1">
        <v>1.5046296296296297E-5</v>
      </c>
      <c r="G254" t="s">
        <v>16</v>
      </c>
      <c r="H254">
        <v>3</v>
      </c>
      <c r="I254">
        <v>139</v>
      </c>
      <c r="J254">
        <v>142</v>
      </c>
      <c r="L254" t="s">
        <v>17</v>
      </c>
      <c r="M254" s="3">
        <f t="shared" si="30"/>
        <v>1.2680000625550747</v>
      </c>
    </row>
    <row r="255" spans="1:13" x14ac:dyDescent="0.25">
      <c r="A255" t="s">
        <v>200</v>
      </c>
      <c r="B255">
        <v>4</v>
      </c>
      <c r="C255" t="s">
        <v>36</v>
      </c>
      <c r="D255" t="s">
        <v>227</v>
      </c>
      <c r="E255" t="s">
        <v>228</v>
      </c>
      <c r="F255" s="1">
        <v>2.199074074074074E-5</v>
      </c>
      <c r="G255" t="s">
        <v>16</v>
      </c>
      <c r="H255">
        <v>3</v>
      </c>
      <c r="I255">
        <v>139</v>
      </c>
      <c r="J255">
        <v>142</v>
      </c>
      <c r="L255" t="s">
        <v>17</v>
      </c>
      <c r="M255" s="3">
        <f t="shared" si="30"/>
        <v>1.934999437071383</v>
      </c>
    </row>
    <row r="256" spans="1:13" x14ac:dyDescent="0.25">
      <c r="A256" t="s">
        <v>200</v>
      </c>
      <c r="B256">
        <v>5</v>
      </c>
      <c r="C256" t="s">
        <v>36</v>
      </c>
      <c r="D256" t="s">
        <v>229</v>
      </c>
      <c r="E256" t="s">
        <v>230</v>
      </c>
      <c r="F256" s="1">
        <v>1.5046296296296297E-5</v>
      </c>
      <c r="G256" t="s">
        <v>16</v>
      </c>
      <c r="H256">
        <v>3</v>
      </c>
      <c r="I256">
        <v>139</v>
      </c>
      <c r="J256">
        <v>142</v>
      </c>
      <c r="L256" t="s">
        <v>17</v>
      </c>
      <c r="M256" s="3">
        <f t="shared" si="30"/>
        <v>1.3240001862868667</v>
      </c>
    </row>
    <row r="257" spans="1:13" x14ac:dyDescent="0.25">
      <c r="A257" t="s">
        <v>200</v>
      </c>
      <c r="B257">
        <v>6</v>
      </c>
      <c r="C257" t="s">
        <v>36</v>
      </c>
      <c r="D257" t="s">
        <v>231</v>
      </c>
      <c r="E257" t="s">
        <v>232</v>
      </c>
      <c r="F257" s="1">
        <v>1.3888888888888888E-5</v>
      </c>
      <c r="G257" t="s">
        <v>16</v>
      </c>
      <c r="H257">
        <v>3</v>
      </c>
      <c r="I257">
        <v>139</v>
      </c>
      <c r="J257">
        <v>142</v>
      </c>
      <c r="L257" t="s">
        <v>17</v>
      </c>
      <c r="M257" s="3">
        <f t="shared" si="30"/>
        <v>1.2060001725330949</v>
      </c>
    </row>
    <row r="258" spans="1:13" x14ac:dyDescent="0.25">
      <c r="A258" t="s">
        <v>200</v>
      </c>
      <c r="B258">
        <v>7</v>
      </c>
      <c r="C258" t="s">
        <v>36</v>
      </c>
      <c r="D258" t="s">
        <v>233</v>
      </c>
      <c r="E258" t="s">
        <v>234</v>
      </c>
      <c r="F258" s="1">
        <v>1.7361111111111111E-5</v>
      </c>
      <c r="G258" t="s">
        <v>16</v>
      </c>
      <c r="H258">
        <v>3</v>
      </c>
      <c r="I258">
        <v>139</v>
      </c>
      <c r="J258">
        <v>142</v>
      </c>
      <c r="L258" t="s">
        <v>17</v>
      </c>
      <c r="M258" s="3">
        <f t="shared" si="30"/>
        <v>1.4860001625493169</v>
      </c>
    </row>
    <row r="259" spans="1:13" x14ac:dyDescent="0.25">
      <c r="A259" t="s">
        <v>200</v>
      </c>
      <c r="B259">
        <v>8</v>
      </c>
      <c r="C259" t="s">
        <v>36</v>
      </c>
      <c r="D259" t="s">
        <v>235</v>
      </c>
      <c r="E259" t="s">
        <v>236</v>
      </c>
      <c r="F259" s="1">
        <v>2.6620370370370369E-5</v>
      </c>
      <c r="G259" t="s">
        <v>16</v>
      </c>
      <c r="H259">
        <v>3</v>
      </c>
      <c r="I259">
        <v>139</v>
      </c>
      <c r="J259">
        <v>142</v>
      </c>
      <c r="L259" t="s">
        <v>17</v>
      </c>
      <c r="M259" s="3">
        <f t="shared" ref="M259:M301" si="31">(SUBSTITUTE(LEFT(E259,23),"T"," ")-SUBSTITUTE(LEFT(D259,23),"T"," "))*86400</f>
        <v>2.296000043861568</v>
      </c>
    </row>
    <row r="260" spans="1:13" x14ac:dyDescent="0.25">
      <c r="A260" t="s">
        <v>200</v>
      </c>
      <c r="B260">
        <v>9</v>
      </c>
      <c r="C260" t="s">
        <v>36</v>
      </c>
      <c r="D260" t="s">
        <v>237</v>
      </c>
      <c r="E260" t="s">
        <v>238</v>
      </c>
      <c r="F260" s="1">
        <v>1.5046296296296297E-5</v>
      </c>
      <c r="G260" t="s">
        <v>16</v>
      </c>
      <c r="H260">
        <v>3</v>
      </c>
      <c r="I260">
        <v>139</v>
      </c>
      <c r="J260">
        <v>142</v>
      </c>
      <c r="L260" t="s">
        <v>17</v>
      </c>
      <c r="M260" s="3">
        <f t="shared" si="31"/>
        <v>1.3090001419186592</v>
      </c>
    </row>
    <row r="261" spans="1:13" x14ac:dyDescent="0.25">
      <c r="A261" t="s">
        <v>200</v>
      </c>
      <c r="B261">
        <v>10</v>
      </c>
      <c r="C261" t="s">
        <v>36</v>
      </c>
      <c r="D261" t="s">
        <v>239</v>
      </c>
      <c r="E261" t="s">
        <v>240</v>
      </c>
      <c r="F261" s="1">
        <v>1.5046296296296297E-5</v>
      </c>
      <c r="G261" t="s">
        <v>16</v>
      </c>
      <c r="H261">
        <v>3</v>
      </c>
      <c r="I261">
        <v>139</v>
      </c>
      <c r="J261">
        <v>142</v>
      </c>
      <c r="L261" t="s">
        <v>17</v>
      </c>
      <c r="M261" s="3">
        <f t="shared" si="31"/>
        <v>1.3440004549920559</v>
      </c>
    </row>
    <row r="262" spans="1:13" x14ac:dyDescent="0.25">
      <c r="A262" t="s">
        <v>200</v>
      </c>
      <c r="B262">
        <v>1</v>
      </c>
      <c r="C262" t="s">
        <v>57</v>
      </c>
      <c r="D262" t="s">
        <v>241</v>
      </c>
      <c r="E262" t="s">
        <v>242</v>
      </c>
      <c r="F262" s="1">
        <v>1.3888888888888888E-5</v>
      </c>
      <c r="G262" t="s">
        <v>16</v>
      </c>
      <c r="H262">
        <v>3</v>
      </c>
      <c r="I262">
        <v>101</v>
      </c>
      <c r="J262">
        <v>104</v>
      </c>
      <c r="L262" t="s">
        <v>17</v>
      </c>
      <c r="M262" s="3">
        <f t="shared" si="31"/>
        <v>1.2469996232539415</v>
      </c>
    </row>
    <row r="263" spans="1:13" x14ac:dyDescent="0.25">
      <c r="A263" t="s">
        <v>200</v>
      </c>
      <c r="B263">
        <v>2</v>
      </c>
      <c r="C263" t="s">
        <v>57</v>
      </c>
      <c r="D263" t="s">
        <v>243</v>
      </c>
      <c r="E263" t="s">
        <v>244</v>
      </c>
      <c r="F263" s="1">
        <v>2.3148148148148147E-5</v>
      </c>
      <c r="G263" t="s">
        <v>16</v>
      </c>
      <c r="H263">
        <v>3</v>
      </c>
      <c r="I263">
        <v>101</v>
      </c>
      <c r="J263">
        <v>104</v>
      </c>
      <c r="L263" t="s">
        <v>17</v>
      </c>
      <c r="M263" s="3">
        <f t="shared" si="31"/>
        <v>1.988999848254025</v>
      </c>
    </row>
    <row r="264" spans="1:13" x14ac:dyDescent="0.25">
      <c r="A264" t="s">
        <v>200</v>
      </c>
      <c r="B264">
        <v>3</v>
      </c>
      <c r="C264" t="s">
        <v>57</v>
      </c>
      <c r="D264" t="s">
        <v>245</v>
      </c>
      <c r="E264" t="s">
        <v>246</v>
      </c>
      <c r="F264" s="1">
        <v>1.2731481481481482E-5</v>
      </c>
      <c r="G264" t="s">
        <v>16</v>
      </c>
      <c r="H264">
        <v>3</v>
      </c>
      <c r="I264">
        <v>101</v>
      </c>
      <c r="J264">
        <v>104</v>
      </c>
      <c r="L264" t="s">
        <v>17</v>
      </c>
      <c r="M264" s="3">
        <f t="shared" si="31"/>
        <v>1.1139995651319623</v>
      </c>
    </row>
    <row r="265" spans="1:13" x14ac:dyDescent="0.25">
      <c r="A265" t="s">
        <v>200</v>
      </c>
      <c r="B265">
        <v>4</v>
      </c>
      <c r="C265" t="s">
        <v>57</v>
      </c>
      <c r="D265" t="s">
        <v>247</v>
      </c>
      <c r="E265" t="s">
        <v>248</v>
      </c>
      <c r="F265" s="1">
        <v>1.6203703703703704E-5</v>
      </c>
      <c r="G265" t="s">
        <v>16</v>
      </c>
      <c r="H265">
        <v>3</v>
      </c>
      <c r="I265">
        <v>101</v>
      </c>
      <c r="J265">
        <v>104</v>
      </c>
      <c r="L265" t="s">
        <v>17</v>
      </c>
      <c r="M265" s="3">
        <f t="shared" si="31"/>
        <v>1.3920004712417722</v>
      </c>
    </row>
    <row r="266" spans="1:13" x14ac:dyDescent="0.25">
      <c r="A266" t="s">
        <v>200</v>
      </c>
      <c r="B266">
        <v>5</v>
      </c>
      <c r="C266" t="s">
        <v>57</v>
      </c>
      <c r="D266" t="s">
        <v>249</v>
      </c>
      <c r="E266" t="s">
        <v>250</v>
      </c>
      <c r="F266" s="1">
        <v>1.6203703703703704E-5</v>
      </c>
      <c r="G266" t="s">
        <v>16</v>
      </c>
      <c r="H266">
        <v>3</v>
      </c>
      <c r="I266">
        <v>101</v>
      </c>
      <c r="J266">
        <v>104</v>
      </c>
      <c r="L266" t="s">
        <v>17</v>
      </c>
      <c r="M266" s="3">
        <f t="shared" si="31"/>
        <v>1.4450000831857324</v>
      </c>
    </row>
    <row r="267" spans="1:13" x14ac:dyDescent="0.25">
      <c r="A267" t="s">
        <v>200</v>
      </c>
      <c r="B267">
        <v>6</v>
      </c>
      <c r="C267" t="s">
        <v>57</v>
      </c>
      <c r="D267" t="s">
        <v>251</v>
      </c>
      <c r="E267" t="s">
        <v>252</v>
      </c>
      <c r="F267" s="1">
        <v>1.3888888888888888E-5</v>
      </c>
      <c r="G267" t="s">
        <v>16</v>
      </c>
      <c r="H267">
        <v>3</v>
      </c>
      <c r="I267">
        <v>101</v>
      </c>
      <c r="J267">
        <v>104</v>
      </c>
      <c r="L267" t="s">
        <v>17</v>
      </c>
      <c r="M267" s="3">
        <f t="shared" si="31"/>
        <v>1.1899999575689435</v>
      </c>
    </row>
    <row r="268" spans="1:13" x14ac:dyDescent="0.25">
      <c r="A268" t="s">
        <v>200</v>
      </c>
      <c r="B268">
        <v>7</v>
      </c>
      <c r="C268" t="s">
        <v>57</v>
      </c>
      <c r="D268" t="s">
        <v>253</v>
      </c>
      <c r="E268" t="s">
        <v>254</v>
      </c>
      <c r="F268" s="1">
        <v>1.7361111111111111E-5</v>
      </c>
      <c r="G268" t="s">
        <v>16</v>
      </c>
      <c r="H268">
        <v>3</v>
      </c>
      <c r="I268">
        <v>101</v>
      </c>
      <c r="J268">
        <v>104</v>
      </c>
      <c r="L268" t="s">
        <v>17</v>
      </c>
      <c r="M268" s="3">
        <f t="shared" si="31"/>
        <v>1.4940002700313926</v>
      </c>
    </row>
    <row r="269" spans="1:13" x14ac:dyDescent="0.25">
      <c r="A269" t="s">
        <v>200</v>
      </c>
      <c r="B269">
        <v>8</v>
      </c>
      <c r="C269" t="s">
        <v>57</v>
      </c>
      <c r="D269" t="s">
        <v>255</v>
      </c>
      <c r="E269" t="s">
        <v>256</v>
      </c>
      <c r="F269" s="1">
        <v>1.8518518518518518E-5</v>
      </c>
      <c r="G269" t="s">
        <v>16</v>
      </c>
      <c r="H269">
        <v>3</v>
      </c>
      <c r="I269">
        <v>101</v>
      </c>
      <c r="J269">
        <v>104</v>
      </c>
      <c r="L269" t="s">
        <v>17</v>
      </c>
      <c r="M269" s="3">
        <f t="shared" si="31"/>
        <v>1.5980004100129008</v>
      </c>
    </row>
    <row r="270" spans="1:13" x14ac:dyDescent="0.25">
      <c r="A270" t="s">
        <v>200</v>
      </c>
      <c r="B270">
        <v>9</v>
      </c>
      <c r="C270" t="s">
        <v>57</v>
      </c>
      <c r="D270" t="s">
        <v>257</v>
      </c>
      <c r="E270" t="s">
        <v>258</v>
      </c>
      <c r="F270" s="1">
        <v>1.5046296296296297E-5</v>
      </c>
      <c r="G270" t="s">
        <v>16</v>
      </c>
      <c r="H270">
        <v>3</v>
      </c>
      <c r="I270">
        <v>101</v>
      </c>
      <c r="J270">
        <v>104</v>
      </c>
      <c r="L270" t="s">
        <v>17</v>
      </c>
      <c r="M270" s="3">
        <f t="shared" si="31"/>
        <v>1.2819999363273382</v>
      </c>
    </row>
    <row r="271" spans="1:13" x14ac:dyDescent="0.25">
      <c r="A271" t="s">
        <v>200</v>
      </c>
      <c r="B271">
        <v>10</v>
      </c>
      <c r="C271" t="s">
        <v>57</v>
      </c>
      <c r="D271" t="s">
        <v>259</v>
      </c>
      <c r="E271" t="s">
        <v>260</v>
      </c>
      <c r="F271" s="1">
        <v>2.6620370370370369E-5</v>
      </c>
      <c r="G271" t="s">
        <v>16</v>
      </c>
      <c r="H271">
        <v>3</v>
      </c>
      <c r="I271">
        <v>101</v>
      </c>
      <c r="J271">
        <v>104</v>
      </c>
      <c r="L271" t="s">
        <v>17</v>
      </c>
      <c r="M271" s="3">
        <f t="shared" si="31"/>
        <v>2.0270000444725156</v>
      </c>
    </row>
    <row r="272" spans="1:13" x14ac:dyDescent="0.25">
      <c r="A272" t="s">
        <v>261</v>
      </c>
      <c r="B272">
        <v>1</v>
      </c>
      <c r="C272" t="s">
        <v>13</v>
      </c>
      <c r="D272" t="s">
        <v>262</v>
      </c>
      <c r="E272" t="s">
        <v>263</v>
      </c>
      <c r="F272" s="1">
        <v>2.6620370370370369E-5</v>
      </c>
      <c r="G272" t="s">
        <v>16</v>
      </c>
      <c r="H272">
        <v>3</v>
      </c>
      <c r="I272">
        <v>91</v>
      </c>
      <c r="J272">
        <v>94</v>
      </c>
      <c r="L272" t="s">
        <v>17</v>
      </c>
      <c r="M272" s="3">
        <f t="shared" si="31"/>
        <v>2.0309994695708156</v>
      </c>
    </row>
    <row r="273" spans="1:13" x14ac:dyDescent="0.25">
      <c r="A273" t="s">
        <v>261</v>
      </c>
      <c r="B273">
        <v>2</v>
      </c>
      <c r="C273" t="s">
        <v>13</v>
      </c>
      <c r="D273" t="s">
        <v>264</v>
      </c>
      <c r="E273" t="s">
        <v>265</v>
      </c>
      <c r="F273" s="1">
        <v>1.9675925925925925E-5</v>
      </c>
      <c r="G273" t="s">
        <v>16</v>
      </c>
      <c r="H273">
        <v>3</v>
      </c>
      <c r="I273">
        <v>91</v>
      </c>
      <c r="J273">
        <v>94</v>
      </c>
      <c r="L273" t="s">
        <v>17</v>
      </c>
      <c r="M273" s="3">
        <f t="shared" si="31"/>
        <v>1.7380004050210118</v>
      </c>
    </row>
    <row r="274" spans="1:13" x14ac:dyDescent="0.25">
      <c r="A274" t="s">
        <v>261</v>
      </c>
      <c r="B274">
        <v>3</v>
      </c>
      <c r="C274" t="s">
        <v>13</v>
      </c>
      <c r="D274" t="s">
        <v>266</v>
      </c>
      <c r="E274" t="s">
        <v>267</v>
      </c>
      <c r="F274" s="1">
        <v>1.9675925925925925E-5</v>
      </c>
      <c r="G274" t="s">
        <v>16</v>
      </c>
      <c r="H274">
        <v>3</v>
      </c>
      <c r="I274">
        <v>91</v>
      </c>
      <c r="J274">
        <v>94</v>
      </c>
      <c r="L274" t="s">
        <v>17</v>
      </c>
      <c r="M274" s="3">
        <f t="shared" si="31"/>
        <v>1.7330001806840301</v>
      </c>
    </row>
    <row r="275" spans="1:13" x14ac:dyDescent="0.25">
      <c r="A275" t="s">
        <v>261</v>
      </c>
      <c r="B275">
        <v>4</v>
      </c>
      <c r="C275" t="s">
        <v>13</v>
      </c>
      <c r="D275" t="s">
        <v>268</v>
      </c>
      <c r="E275" t="s">
        <v>269</v>
      </c>
      <c r="F275" s="1">
        <v>3.2407407407407408E-5</v>
      </c>
      <c r="G275" t="s">
        <v>16</v>
      </c>
      <c r="H275">
        <v>3</v>
      </c>
      <c r="I275">
        <v>91</v>
      </c>
      <c r="J275">
        <v>94</v>
      </c>
      <c r="L275" t="s">
        <v>17</v>
      </c>
      <c r="M275" s="3">
        <f t="shared" si="31"/>
        <v>2.0829995395615697</v>
      </c>
    </row>
    <row r="276" spans="1:13" x14ac:dyDescent="0.25">
      <c r="A276" t="s">
        <v>261</v>
      </c>
      <c r="B276">
        <v>5</v>
      </c>
      <c r="C276" t="s">
        <v>13</v>
      </c>
      <c r="D276" t="s">
        <v>270</v>
      </c>
      <c r="E276" t="s">
        <v>271</v>
      </c>
      <c r="F276" s="1">
        <v>1.9675925925925925E-5</v>
      </c>
      <c r="G276" t="s">
        <v>16</v>
      </c>
      <c r="H276">
        <v>3</v>
      </c>
      <c r="I276">
        <v>91</v>
      </c>
      <c r="J276">
        <v>94</v>
      </c>
      <c r="L276" t="s">
        <v>17</v>
      </c>
      <c r="M276" s="3">
        <f t="shared" si="31"/>
        <v>1.7320000100880861</v>
      </c>
    </row>
    <row r="277" spans="1:13" x14ac:dyDescent="0.25">
      <c r="A277" t="s">
        <v>261</v>
      </c>
      <c r="B277">
        <v>6</v>
      </c>
      <c r="C277" t="s">
        <v>13</v>
      </c>
      <c r="D277" t="s">
        <v>272</v>
      </c>
      <c r="E277" t="s">
        <v>273</v>
      </c>
      <c r="F277" s="1">
        <v>2.0833333333333333E-5</v>
      </c>
      <c r="G277" t="s">
        <v>16</v>
      </c>
      <c r="H277">
        <v>3</v>
      </c>
      <c r="I277">
        <v>91</v>
      </c>
      <c r="J277">
        <v>94</v>
      </c>
      <c r="L277" t="s">
        <v>17</v>
      </c>
      <c r="M277" s="3">
        <f t="shared" si="31"/>
        <v>1.7679998651146889</v>
      </c>
    </row>
    <row r="278" spans="1:13" x14ac:dyDescent="0.25">
      <c r="A278" t="s">
        <v>261</v>
      </c>
      <c r="B278">
        <v>7</v>
      </c>
      <c r="C278" t="s">
        <v>13</v>
      </c>
      <c r="D278" t="s">
        <v>274</v>
      </c>
      <c r="E278" t="s">
        <v>275</v>
      </c>
      <c r="F278" s="1">
        <v>2.199074074074074E-5</v>
      </c>
      <c r="G278" t="s">
        <v>16</v>
      </c>
      <c r="H278">
        <v>3</v>
      </c>
      <c r="I278">
        <v>91</v>
      </c>
      <c r="J278">
        <v>94</v>
      </c>
      <c r="L278" t="s">
        <v>17</v>
      </c>
      <c r="M278" s="3">
        <f t="shared" si="31"/>
        <v>1.9429995445534587</v>
      </c>
    </row>
    <row r="279" spans="1:13" x14ac:dyDescent="0.25">
      <c r="A279" t="s">
        <v>261</v>
      </c>
      <c r="B279">
        <v>8</v>
      </c>
      <c r="C279" t="s">
        <v>13</v>
      </c>
      <c r="D279" t="s">
        <v>276</v>
      </c>
      <c r="E279" t="s">
        <v>277</v>
      </c>
      <c r="F279" s="1">
        <v>3.1250000000000001E-5</v>
      </c>
      <c r="G279" t="s">
        <v>16</v>
      </c>
      <c r="H279">
        <v>3</v>
      </c>
      <c r="I279">
        <v>91</v>
      </c>
      <c r="J279">
        <v>94</v>
      </c>
      <c r="L279" t="s">
        <v>17</v>
      </c>
      <c r="M279" s="3">
        <f t="shared" si="31"/>
        <v>2.6840002276003361</v>
      </c>
    </row>
    <row r="280" spans="1:13" x14ac:dyDescent="0.25">
      <c r="A280" t="s">
        <v>261</v>
      </c>
      <c r="B280">
        <v>9</v>
      </c>
      <c r="C280" t="s">
        <v>13</v>
      </c>
      <c r="D280" t="s">
        <v>278</v>
      </c>
      <c r="E280" t="s">
        <v>279</v>
      </c>
      <c r="F280" s="1">
        <v>2.0833333333333333E-5</v>
      </c>
      <c r="G280" t="s">
        <v>16</v>
      </c>
      <c r="H280">
        <v>3</v>
      </c>
      <c r="I280">
        <v>91</v>
      </c>
      <c r="J280">
        <v>94</v>
      </c>
      <c r="L280" t="s">
        <v>17</v>
      </c>
      <c r="M280" s="3">
        <f t="shared" si="31"/>
        <v>1.8419999163597822</v>
      </c>
    </row>
    <row r="281" spans="1:13" x14ac:dyDescent="0.25">
      <c r="A281" t="s">
        <v>261</v>
      </c>
      <c r="B281">
        <v>10</v>
      </c>
      <c r="C281" t="s">
        <v>13</v>
      </c>
      <c r="D281" t="s">
        <v>280</v>
      </c>
      <c r="E281" t="s">
        <v>281</v>
      </c>
      <c r="F281" s="1">
        <v>2.3148148148148147E-5</v>
      </c>
      <c r="G281" t="s">
        <v>16</v>
      </c>
      <c r="H281">
        <v>3</v>
      </c>
      <c r="I281">
        <v>91</v>
      </c>
      <c r="J281">
        <v>94</v>
      </c>
      <c r="L281" t="s">
        <v>17</v>
      </c>
      <c r="M281" s="3">
        <f t="shared" si="31"/>
        <v>1.959999930113554</v>
      </c>
    </row>
    <row r="282" spans="1:13" x14ac:dyDescent="0.25">
      <c r="A282" t="s">
        <v>261</v>
      </c>
      <c r="B282">
        <v>1</v>
      </c>
      <c r="C282" t="s">
        <v>36</v>
      </c>
      <c r="D282" t="s">
        <v>282</v>
      </c>
      <c r="E282" t="s">
        <v>283</v>
      </c>
      <c r="F282" s="1">
        <v>2.0833333333333333E-5</v>
      </c>
      <c r="G282" t="s">
        <v>16</v>
      </c>
      <c r="H282">
        <v>3</v>
      </c>
      <c r="I282">
        <v>164</v>
      </c>
      <c r="J282">
        <v>167</v>
      </c>
      <c r="L282" t="s">
        <v>17</v>
      </c>
      <c r="M282" s="3">
        <f t="shared" si="31"/>
        <v>1.8390000332146883</v>
      </c>
    </row>
    <row r="283" spans="1:13" x14ac:dyDescent="0.25">
      <c r="A283" t="s">
        <v>261</v>
      </c>
      <c r="B283">
        <v>2</v>
      </c>
      <c r="C283" t="s">
        <v>36</v>
      </c>
      <c r="D283" t="s">
        <v>284</v>
      </c>
      <c r="E283" t="s">
        <v>285</v>
      </c>
      <c r="F283" s="1">
        <v>1.8518518518518518E-5</v>
      </c>
      <c r="G283" t="s">
        <v>16</v>
      </c>
      <c r="H283">
        <v>3</v>
      </c>
      <c r="I283">
        <v>164</v>
      </c>
      <c r="J283">
        <v>167</v>
      </c>
      <c r="L283" t="s">
        <v>17</v>
      </c>
      <c r="M283" s="3">
        <f t="shared" si="31"/>
        <v>1.6370001481845975</v>
      </c>
    </row>
    <row r="284" spans="1:13" x14ac:dyDescent="0.25">
      <c r="A284" t="s">
        <v>261</v>
      </c>
      <c r="B284">
        <v>3</v>
      </c>
      <c r="C284" t="s">
        <v>36</v>
      </c>
      <c r="D284" t="s">
        <v>286</v>
      </c>
      <c r="E284" t="s">
        <v>287</v>
      </c>
      <c r="F284" s="1">
        <v>1.9675925925925925E-5</v>
      </c>
      <c r="G284" t="s">
        <v>16</v>
      </c>
      <c r="H284">
        <v>3</v>
      </c>
      <c r="I284">
        <v>164</v>
      </c>
      <c r="J284">
        <v>167</v>
      </c>
      <c r="L284" t="s">
        <v>17</v>
      </c>
      <c r="M284" s="3">
        <f t="shared" si="31"/>
        <v>1.7040002625435591</v>
      </c>
    </row>
    <row r="285" spans="1:13" x14ac:dyDescent="0.25">
      <c r="A285" t="s">
        <v>261</v>
      </c>
      <c r="B285">
        <v>4</v>
      </c>
      <c r="C285" t="s">
        <v>36</v>
      </c>
      <c r="D285" t="s">
        <v>288</v>
      </c>
      <c r="E285" t="s">
        <v>289</v>
      </c>
      <c r="F285" s="1">
        <v>1.5046296296296297E-5</v>
      </c>
      <c r="G285" t="s">
        <v>16</v>
      </c>
      <c r="H285">
        <v>3</v>
      </c>
      <c r="I285">
        <v>164</v>
      </c>
      <c r="J285">
        <v>167</v>
      </c>
      <c r="L285" t="s">
        <v>17</v>
      </c>
      <c r="M285" s="3">
        <f t="shared" si="31"/>
        <v>1.2539995601400733</v>
      </c>
    </row>
    <row r="286" spans="1:13" x14ac:dyDescent="0.25">
      <c r="A286" t="s">
        <v>261</v>
      </c>
      <c r="B286">
        <v>5</v>
      </c>
      <c r="C286" t="s">
        <v>36</v>
      </c>
      <c r="D286" t="s">
        <v>290</v>
      </c>
      <c r="E286" t="s">
        <v>291</v>
      </c>
      <c r="F286" s="1">
        <v>1.3888888888888888E-5</v>
      </c>
      <c r="G286" t="s">
        <v>16</v>
      </c>
      <c r="H286">
        <v>3</v>
      </c>
      <c r="I286">
        <v>164</v>
      </c>
      <c r="J286">
        <v>167</v>
      </c>
      <c r="L286" t="s">
        <v>17</v>
      </c>
      <c r="M286" s="3">
        <f t="shared" si="31"/>
        <v>1.2189998757094145</v>
      </c>
    </row>
    <row r="287" spans="1:13" x14ac:dyDescent="0.25">
      <c r="A287" t="s">
        <v>261</v>
      </c>
      <c r="B287">
        <v>6</v>
      </c>
      <c r="C287" t="s">
        <v>36</v>
      </c>
      <c r="D287" t="s">
        <v>292</v>
      </c>
      <c r="E287" t="s">
        <v>293</v>
      </c>
      <c r="F287" s="1">
        <v>1.6203703703703704E-5</v>
      </c>
      <c r="G287" t="s">
        <v>16</v>
      </c>
      <c r="H287">
        <v>3</v>
      </c>
      <c r="I287">
        <v>164</v>
      </c>
      <c r="J287">
        <v>167</v>
      </c>
      <c r="L287" t="s">
        <v>17</v>
      </c>
      <c r="M287" s="3">
        <f t="shared" si="31"/>
        <v>1.4340000925585628</v>
      </c>
    </row>
    <row r="288" spans="1:13" x14ac:dyDescent="0.25">
      <c r="A288" t="s">
        <v>261</v>
      </c>
      <c r="B288">
        <v>7</v>
      </c>
      <c r="C288" t="s">
        <v>36</v>
      </c>
      <c r="D288" t="s">
        <v>294</v>
      </c>
      <c r="E288" t="s">
        <v>295</v>
      </c>
      <c r="F288" s="1">
        <v>2.0833333333333333E-5</v>
      </c>
      <c r="G288" t="s">
        <v>16</v>
      </c>
      <c r="H288">
        <v>3</v>
      </c>
      <c r="I288">
        <v>164</v>
      </c>
      <c r="J288">
        <v>167</v>
      </c>
      <c r="L288" t="s">
        <v>17</v>
      </c>
      <c r="M288" s="3">
        <f t="shared" si="31"/>
        <v>1.7800000263378024</v>
      </c>
    </row>
    <row r="289" spans="1:13" x14ac:dyDescent="0.25">
      <c r="A289" t="s">
        <v>261</v>
      </c>
      <c r="B289">
        <v>8</v>
      </c>
      <c r="C289" t="s">
        <v>36</v>
      </c>
      <c r="D289" t="s">
        <v>296</v>
      </c>
      <c r="E289" t="s">
        <v>297</v>
      </c>
      <c r="F289" s="1">
        <v>1.8518518518518518E-5</v>
      </c>
      <c r="G289" t="s">
        <v>16</v>
      </c>
      <c r="H289">
        <v>3</v>
      </c>
      <c r="I289">
        <v>164</v>
      </c>
      <c r="J289">
        <v>167</v>
      </c>
      <c r="L289" t="s">
        <v>17</v>
      </c>
      <c r="M289" s="3">
        <f t="shared" si="31"/>
        <v>1.5860002487897873</v>
      </c>
    </row>
    <row r="290" spans="1:13" x14ac:dyDescent="0.25">
      <c r="A290" t="s">
        <v>261</v>
      </c>
      <c r="B290">
        <v>9</v>
      </c>
      <c r="C290" t="s">
        <v>36</v>
      </c>
      <c r="D290" t="s">
        <v>298</v>
      </c>
      <c r="E290" t="s">
        <v>299</v>
      </c>
      <c r="F290" s="1">
        <v>1.3888888888888888E-5</v>
      </c>
      <c r="G290" t="s">
        <v>16</v>
      </c>
      <c r="H290">
        <v>3</v>
      </c>
      <c r="I290">
        <v>164</v>
      </c>
      <c r="J290">
        <v>167</v>
      </c>
      <c r="L290" t="s">
        <v>17</v>
      </c>
      <c r="M290" s="3">
        <f t="shared" si="31"/>
        <v>1.1999997776001692</v>
      </c>
    </row>
    <row r="291" spans="1:13" x14ac:dyDescent="0.25">
      <c r="A291" t="s">
        <v>261</v>
      </c>
      <c r="B291">
        <v>10</v>
      </c>
      <c r="C291" t="s">
        <v>36</v>
      </c>
      <c r="D291" t="s">
        <v>300</v>
      </c>
      <c r="E291" t="s">
        <v>301</v>
      </c>
      <c r="F291" s="1">
        <v>1.8518518518518518E-5</v>
      </c>
      <c r="G291" t="s">
        <v>16</v>
      </c>
      <c r="H291">
        <v>3</v>
      </c>
      <c r="I291">
        <v>164</v>
      </c>
      <c r="J291">
        <v>167</v>
      </c>
      <c r="L291" t="s">
        <v>17</v>
      </c>
      <c r="M291" s="3">
        <f t="shared" si="31"/>
        <v>1.5839999075978994</v>
      </c>
    </row>
    <row r="292" spans="1:13" x14ac:dyDescent="0.25">
      <c r="A292" t="s">
        <v>261</v>
      </c>
      <c r="B292">
        <v>1</v>
      </c>
      <c r="C292" t="s">
        <v>57</v>
      </c>
      <c r="D292" t="s">
        <v>302</v>
      </c>
      <c r="E292" t="s">
        <v>303</v>
      </c>
      <c r="F292" s="1">
        <v>1.7361111111111111E-5</v>
      </c>
      <c r="G292" t="s">
        <v>16</v>
      </c>
      <c r="H292">
        <v>3</v>
      </c>
      <c r="I292">
        <v>125</v>
      </c>
      <c r="J292">
        <v>128</v>
      </c>
      <c r="L292" t="s">
        <v>17</v>
      </c>
      <c r="M292" s="3">
        <f t="shared" si="31"/>
        <v>1.5189995057880878</v>
      </c>
    </row>
    <row r="293" spans="1:13" x14ac:dyDescent="0.25">
      <c r="A293" t="s">
        <v>261</v>
      </c>
      <c r="B293">
        <v>2</v>
      </c>
      <c r="C293" t="s">
        <v>57</v>
      </c>
      <c r="D293" t="s">
        <v>304</v>
      </c>
      <c r="E293" t="s">
        <v>305</v>
      </c>
      <c r="F293" s="1">
        <v>1.7361111111111111E-5</v>
      </c>
      <c r="G293" t="s">
        <v>16</v>
      </c>
      <c r="H293">
        <v>3</v>
      </c>
      <c r="I293">
        <v>125</v>
      </c>
      <c r="J293">
        <v>128</v>
      </c>
      <c r="L293" t="s">
        <v>17</v>
      </c>
      <c r="M293" s="3">
        <f t="shared" si="31"/>
        <v>1.4970001531764865</v>
      </c>
    </row>
    <row r="294" spans="1:13" x14ac:dyDescent="0.25">
      <c r="A294" t="s">
        <v>261</v>
      </c>
      <c r="B294">
        <v>3</v>
      </c>
      <c r="C294" t="s">
        <v>57</v>
      </c>
      <c r="D294" t="s">
        <v>306</v>
      </c>
      <c r="E294" t="s">
        <v>307</v>
      </c>
      <c r="F294" s="1">
        <v>1.7361111111111111E-5</v>
      </c>
      <c r="G294" t="s">
        <v>16</v>
      </c>
      <c r="H294">
        <v>3</v>
      </c>
      <c r="I294">
        <v>125</v>
      </c>
      <c r="J294">
        <v>128</v>
      </c>
      <c r="L294" t="s">
        <v>17</v>
      </c>
      <c r="M294" s="3">
        <f t="shared" si="31"/>
        <v>1.4980003237724304</v>
      </c>
    </row>
    <row r="295" spans="1:13" x14ac:dyDescent="0.25">
      <c r="A295" t="s">
        <v>261</v>
      </c>
      <c r="B295">
        <v>4</v>
      </c>
      <c r="C295" t="s">
        <v>57</v>
      </c>
      <c r="D295" t="s">
        <v>308</v>
      </c>
      <c r="E295" t="s">
        <v>309</v>
      </c>
      <c r="F295" s="1">
        <v>2.0833333333333333E-5</v>
      </c>
      <c r="G295" t="s">
        <v>16</v>
      </c>
      <c r="H295">
        <v>3</v>
      </c>
      <c r="I295">
        <v>125</v>
      </c>
      <c r="J295">
        <v>128</v>
      </c>
      <c r="L295" t="s">
        <v>17</v>
      </c>
      <c r="M295" s="3">
        <f t="shared" si="31"/>
        <v>1.792999729514122</v>
      </c>
    </row>
    <row r="296" spans="1:13" x14ac:dyDescent="0.25">
      <c r="A296" t="s">
        <v>261</v>
      </c>
      <c r="B296">
        <v>5</v>
      </c>
      <c r="C296" t="s">
        <v>57</v>
      </c>
      <c r="D296" t="s">
        <v>310</v>
      </c>
      <c r="E296" t="s">
        <v>311</v>
      </c>
      <c r="F296" s="1">
        <v>1.6203703703703704E-5</v>
      </c>
      <c r="G296" t="s">
        <v>16</v>
      </c>
      <c r="H296">
        <v>3</v>
      </c>
      <c r="I296">
        <v>125</v>
      </c>
      <c r="J296">
        <v>128</v>
      </c>
      <c r="L296" t="s">
        <v>17</v>
      </c>
      <c r="M296" s="3">
        <f t="shared" si="31"/>
        <v>1.3629999244585633</v>
      </c>
    </row>
    <row r="297" spans="1:13" x14ac:dyDescent="0.25">
      <c r="A297" t="s">
        <v>261</v>
      </c>
      <c r="B297">
        <v>6</v>
      </c>
      <c r="C297" t="s">
        <v>57</v>
      </c>
      <c r="D297" t="s">
        <v>312</v>
      </c>
      <c r="E297" t="s">
        <v>313</v>
      </c>
      <c r="F297" s="1">
        <v>1.3888888888888888E-5</v>
      </c>
      <c r="G297" t="s">
        <v>16</v>
      </c>
      <c r="H297">
        <v>3</v>
      </c>
      <c r="I297">
        <v>125</v>
      </c>
      <c r="J297">
        <v>128</v>
      </c>
      <c r="L297" t="s">
        <v>17</v>
      </c>
      <c r="M297" s="3">
        <f t="shared" si="31"/>
        <v>1.2379999738186598</v>
      </c>
    </row>
    <row r="298" spans="1:13" x14ac:dyDescent="0.25">
      <c r="A298" t="s">
        <v>261</v>
      </c>
      <c r="B298">
        <v>7</v>
      </c>
      <c r="C298" t="s">
        <v>57</v>
      </c>
      <c r="D298" t="s">
        <v>314</v>
      </c>
      <c r="E298" t="s">
        <v>315</v>
      </c>
      <c r="F298" s="1">
        <v>1.8518518518518518E-5</v>
      </c>
      <c r="G298" t="s">
        <v>16</v>
      </c>
      <c r="H298">
        <v>3</v>
      </c>
      <c r="I298">
        <v>125</v>
      </c>
      <c r="J298">
        <v>128</v>
      </c>
      <c r="L298" t="s">
        <v>17</v>
      </c>
      <c r="M298" s="3">
        <f t="shared" si="31"/>
        <v>1.5710002044215798</v>
      </c>
    </row>
    <row r="299" spans="1:13" x14ac:dyDescent="0.25">
      <c r="A299" t="s">
        <v>261</v>
      </c>
      <c r="B299">
        <v>8</v>
      </c>
      <c r="C299" t="s">
        <v>57</v>
      </c>
      <c r="D299" t="s">
        <v>316</v>
      </c>
      <c r="E299" t="s">
        <v>317</v>
      </c>
      <c r="F299" s="1">
        <v>1.5046296296296297E-5</v>
      </c>
      <c r="G299" t="s">
        <v>16</v>
      </c>
      <c r="H299">
        <v>3</v>
      </c>
      <c r="I299">
        <v>125</v>
      </c>
      <c r="J299">
        <v>128</v>
      </c>
      <c r="L299" t="s">
        <v>17</v>
      </c>
      <c r="M299" s="3">
        <f t="shared" si="31"/>
        <v>1.316000078804791</v>
      </c>
    </row>
    <row r="300" spans="1:13" x14ac:dyDescent="0.25">
      <c r="A300" t="s">
        <v>261</v>
      </c>
      <c r="B300">
        <v>9</v>
      </c>
      <c r="C300" t="s">
        <v>57</v>
      </c>
      <c r="D300" t="s">
        <v>318</v>
      </c>
      <c r="E300" t="s">
        <v>319</v>
      </c>
      <c r="F300" s="1">
        <v>1.8518518518518518E-5</v>
      </c>
      <c r="G300" t="s">
        <v>16</v>
      </c>
      <c r="H300">
        <v>3</v>
      </c>
      <c r="I300">
        <v>125</v>
      </c>
      <c r="J300">
        <v>128</v>
      </c>
      <c r="L300" t="s">
        <v>17</v>
      </c>
      <c r="M300" s="3">
        <f t="shared" si="31"/>
        <v>1.568999863229692</v>
      </c>
    </row>
    <row r="301" spans="1:13" x14ac:dyDescent="0.25">
      <c r="A301" t="s">
        <v>261</v>
      </c>
      <c r="B301">
        <v>10</v>
      </c>
      <c r="C301" t="s">
        <v>57</v>
      </c>
      <c r="D301" t="s">
        <v>320</v>
      </c>
      <c r="E301" t="s">
        <v>321</v>
      </c>
      <c r="F301" s="1">
        <v>1.5046296296296297E-5</v>
      </c>
      <c r="G301" t="s">
        <v>16</v>
      </c>
      <c r="H301">
        <v>3</v>
      </c>
      <c r="I301">
        <v>125</v>
      </c>
      <c r="J301">
        <v>128</v>
      </c>
      <c r="L301" t="s">
        <v>17</v>
      </c>
      <c r="M301" s="3">
        <f t="shared" si="31"/>
        <v>1.2709999457001686</v>
      </c>
    </row>
  </sheetData>
  <mergeCells count="45">
    <mergeCell ref="P5:R5"/>
    <mergeCell ref="U5:W5"/>
    <mergeCell ref="Z5:AB5"/>
    <mergeCell ref="AE5:AG5"/>
    <mergeCell ref="AJ5:AL5"/>
    <mergeCell ref="O3:R4"/>
    <mergeCell ref="T3:W4"/>
    <mergeCell ref="Y3:AB4"/>
    <mergeCell ref="AD3:AG4"/>
    <mergeCell ref="AI3:AL4"/>
    <mergeCell ref="P6:R6"/>
    <mergeCell ref="U6:W6"/>
    <mergeCell ref="Z6:AB6"/>
    <mergeCell ref="AE6:AG6"/>
    <mergeCell ref="AJ6:AL6"/>
    <mergeCell ref="O25:R25"/>
    <mergeCell ref="T25:W25"/>
    <mergeCell ref="Y25:AB25"/>
    <mergeCell ref="AD25:AG25"/>
    <mergeCell ref="AI25:AL25"/>
    <mergeCell ref="O26:Q26"/>
    <mergeCell ref="T26:V26"/>
    <mergeCell ref="Y26:AA26"/>
    <mergeCell ref="AD26:AF26"/>
    <mergeCell ref="AI26:AK26"/>
    <mergeCell ref="O27:Q27"/>
    <mergeCell ref="T27:V27"/>
    <mergeCell ref="Y27:AA27"/>
    <mergeCell ref="AD27:AF27"/>
    <mergeCell ref="AI27:AK27"/>
    <mergeCell ref="O30:R30"/>
    <mergeCell ref="T30:V30"/>
    <mergeCell ref="Y30:AA30"/>
    <mergeCell ref="O28:Q28"/>
    <mergeCell ref="T28:V28"/>
    <mergeCell ref="Y28:AA28"/>
    <mergeCell ref="AN9:AO9"/>
    <mergeCell ref="AD30:AH30"/>
    <mergeCell ref="Y42:AA42"/>
    <mergeCell ref="AI35:AJ35"/>
    <mergeCell ref="AC42:AE42"/>
    <mergeCell ref="Y34:AA34"/>
    <mergeCell ref="Y38:AA38"/>
    <mergeCell ref="AD28:AF28"/>
    <mergeCell ref="AI28:AK28"/>
  </mergeCells>
  <hyperlinks>
    <hyperlink ref="P6" r:id="rId1" display="claude-3-haiku@20240307" xr:uid="{CA3B2031-D164-4E5B-9DA7-B42097D2C9AD}"/>
    <hyperlink ref="O3" r:id="rId2" xr:uid="{3A5EF701-1B26-4118-8ED0-DCBE5BF80F4B}"/>
  </hyperlinks>
  <pageMargins left="0.7" right="0.7" top="0.75" bottom="0.75" header="0.3" footer="0.3"/>
  <pageSetup orientation="portrait" horizontalDpi="0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claude</vt:lpstr>
      <vt:lpstr>deepseek</vt:lpstr>
      <vt:lpstr>gemini</vt:lpstr>
      <vt:lpstr>llama</vt:lpstr>
      <vt:lpstr>openai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2026-03-20T06:53:48Z</dcterms:created>
  <dcterms:modified xsi:type="dcterms:W3CDTF">2026-03-20T06:55:08Z</dcterms:modified>
</cp:coreProperties>
</file>